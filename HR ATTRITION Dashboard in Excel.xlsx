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F588E04D-A1D3-4F85-838D-23187759E162}" xr6:coauthVersionLast="47" xr6:coauthVersionMax="47" xr10:uidLastSave="{00000000-0000-0000-0000-000000000000}"/>
  <bookViews>
    <workbookView xWindow="-108" yWindow="-108" windowWidth="23256" windowHeight="12456" activeTab="2" xr2:uid="{A5BC5E8E-35B3-4D94-9A1C-AF914617AFFD}"/>
  </bookViews>
  <sheets>
    <sheet name="Row data" sheetId="4" r:id="rId1"/>
    <sheet name="CleanData" sheetId="5" r:id="rId2"/>
    <sheet name="Calcuation" sheetId="2" r:id="rId3"/>
    <sheet name="DashBoard" sheetId="7" r:id="rId4"/>
  </sheets>
  <definedNames>
    <definedName name="_xlnm.Print_Area" localSheetId="3">DashBoard!$X$14:$Y$19</definedName>
    <definedName name="Slicer_Department">#N/A</definedName>
    <definedName name="Slicer_Educa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B2" i="2"/>
  <c r="D2" i="2"/>
  <c r="I2" i="2"/>
  <c r="P41" i="5"/>
  <c r="O41" i="5"/>
  <c r="N41" i="5"/>
  <c r="M41" i="5"/>
  <c r="P40" i="5"/>
  <c r="O40" i="5"/>
  <c r="N40" i="5"/>
  <c r="M40" i="5"/>
  <c r="P39" i="5"/>
  <c r="O39" i="5"/>
  <c r="N39" i="5"/>
  <c r="M39" i="5"/>
  <c r="P38" i="5"/>
  <c r="O38" i="5"/>
  <c r="N38" i="5"/>
  <c r="M38" i="5"/>
  <c r="P37" i="5"/>
  <c r="O37" i="5"/>
  <c r="N37" i="5"/>
  <c r="M37" i="5"/>
  <c r="P36" i="5"/>
  <c r="O36" i="5"/>
  <c r="N36" i="5"/>
  <c r="M36" i="5"/>
  <c r="P35" i="5"/>
  <c r="O35" i="5"/>
  <c r="N35" i="5"/>
  <c r="M35" i="5"/>
  <c r="P34" i="5"/>
  <c r="O34" i="5"/>
  <c r="N34" i="5"/>
  <c r="M34" i="5"/>
  <c r="P33" i="5"/>
  <c r="O33" i="5"/>
  <c r="N33" i="5"/>
  <c r="M33" i="5"/>
  <c r="P32" i="5"/>
  <c r="O32" i="5"/>
  <c r="N32" i="5"/>
  <c r="M32" i="5"/>
  <c r="P31" i="5"/>
  <c r="O31" i="5"/>
  <c r="N31" i="5"/>
  <c r="M31" i="5"/>
  <c r="P30" i="5"/>
  <c r="O30" i="5"/>
  <c r="N30" i="5"/>
  <c r="M30" i="5"/>
  <c r="P29" i="5"/>
  <c r="O29" i="5"/>
  <c r="N29" i="5"/>
  <c r="M29" i="5"/>
  <c r="P28" i="5"/>
  <c r="O28" i="5"/>
  <c r="N28" i="5"/>
  <c r="M28" i="5"/>
  <c r="P27" i="5"/>
  <c r="O27" i="5"/>
  <c r="N27" i="5"/>
  <c r="M27" i="5"/>
  <c r="P26" i="5"/>
  <c r="O26" i="5"/>
  <c r="N26" i="5"/>
  <c r="M26" i="5"/>
  <c r="P25" i="5"/>
  <c r="O25" i="5"/>
  <c r="N25" i="5"/>
  <c r="M25" i="5"/>
  <c r="P24" i="5"/>
  <c r="O24" i="5"/>
  <c r="N24" i="5"/>
  <c r="M24" i="5"/>
  <c r="P23" i="5"/>
  <c r="O23" i="5"/>
  <c r="N23" i="5"/>
  <c r="M23" i="5"/>
  <c r="P22" i="5"/>
  <c r="O22" i="5"/>
  <c r="N22" i="5"/>
  <c r="M22" i="5"/>
  <c r="P21" i="5"/>
  <c r="O21" i="5"/>
  <c r="N21" i="5"/>
  <c r="M21" i="5"/>
  <c r="P20" i="5"/>
  <c r="O20" i="5"/>
  <c r="N20" i="5"/>
  <c r="M20" i="5"/>
  <c r="P19" i="5"/>
  <c r="O19" i="5"/>
  <c r="N19" i="5"/>
  <c r="M19" i="5"/>
  <c r="P18" i="5"/>
  <c r="O18" i="5"/>
  <c r="N18" i="5"/>
  <c r="M18" i="5"/>
  <c r="P17" i="5"/>
  <c r="O17" i="5"/>
  <c r="N17" i="5"/>
  <c r="M17" i="5"/>
  <c r="P16" i="5"/>
  <c r="O16" i="5"/>
  <c r="N16" i="5"/>
  <c r="M16" i="5"/>
  <c r="P15" i="5"/>
  <c r="O15" i="5"/>
  <c r="N15" i="5"/>
  <c r="M15" i="5"/>
  <c r="P14" i="5"/>
  <c r="O14" i="5"/>
  <c r="N14" i="5"/>
  <c r="M14" i="5"/>
  <c r="P13" i="5"/>
  <c r="O13" i="5"/>
  <c r="N13" i="5"/>
  <c r="M13" i="5"/>
  <c r="P12" i="5"/>
  <c r="O12" i="5"/>
  <c r="N12" i="5"/>
  <c r="M12" i="5"/>
  <c r="P11" i="5"/>
  <c r="O11" i="5"/>
  <c r="N11" i="5"/>
  <c r="M11" i="5"/>
  <c r="P10" i="5"/>
  <c r="O10" i="5"/>
  <c r="N10" i="5"/>
  <c r="M10" i="5"/>
  <c r="P9" i="5"/>
  <c r="O9" i="5"/>
  <c r="N9" i="5"/>
  <c r="M9" i="5"/>
  <c r="P8" i="5"/>
  <c r="O8" i="5"/>
  <c r="N8" i="5"/>
  <c r="M8" i="5"/>
  <c r="P7" i="5"/>
  <c r="O7" i="5"/>
  <c r="N7" i="5"/>
  <c r="M7" i="5"/>
  <c r="P6" i="5"/>
  <c r="O6" i="5"/>
  <c r="N6" i="5"/>
  <c r="M6" i="5"/>
  <c r="P5" i="5"/>
  <c r="O5" i="5"/>
  <c r="N5" i="5"/>
  <c r="M5" i="5"/>
  <c r="P4" i="5"/>
  <c r="O4" i="5"/>
  <c r="N4" i="5"/>
  <c r="M4" i="5"/>
  <c r="P3" i="5"/>
  <c r="O3" i="5"/>
  <c r="N3" i="5"/>
  <c r="M3" i="5"/>
  <c r="P2" i="5"/>
  <c r="O2" i="5"/>
  <c r="N2" i="5"/>
  <c r="M2" i="5"/>
  <c r="F2" i="2" l="1"/>
</calcChain>
</file>

<file path=xl/sharedStrings.xml><?xml version="1.0" encoding="utf-8"?>
<sst xmlns="http://schemas.openxmlformats.org/spreadsheetml/2006/main" count="427" uniqueCount="135">
  <si>
    <t>EmployeeID,Name,Gender,Age,Department,JobRole,Education,EducationField,MaritalStatus,Salary,JobSatisfaction,Attrition</t>
  </si>
  <si>
    <t>EmployeeID</t>
  </si>
  <si>
    <t>Name</t>
  </si>
  <si>
    <t>Gender</t>
  </si>
  <si>
    <t>Age</t>
  </si>
  <si>
    <t>Department</t>
  </si>
  <si>
    <t>JobRole</t>
  </si>
  <si>
    <t>Education</t>
  </si>
  <si>
    <t>EducationField</t>
  </si>
  <si>
    <t>MaritalStatus</t>
  </si>
  <si>
    <t>Salary</t>
  </si>
  <si>
    <t>JobSatisfaction</t>
  </si>
  <si>
    <t>Attrition</t>
  </si>
  <si>
    <t>1,Michael Johnson,Male,34,Sales,Sales Executive,Bachelor,Marketing,Married,60000,3,Yes</t>
  </si>
  <si>
    <t>2,Emily Carter,Female,29,R&amp;D,Research Scientist,Master,Life Sciences,Single,72000,4,No</t>
  </si>
  <si>
    <t>3,David Miller,Male,41,HR,HR Manager,Master,Human Resources,Married,68000,2,Yes</t>
  </si>
  <si>
    <t>4,Sarah Thompson,Female,36,Sales,Sales Representative,Bachelor,Marketing,Divorced,52000,3,No</t>
  </si>
  <si>
    <t>5,James Anderson,Male,45,R&amp;D,Lab Technician,Associate,Technical,Married,48000,2,Yes</t>
  </si>
  <si>
    <t>6,Olivia Martinez,Female,31,HR,HR Executive,Bachelor,Human Resources,Single,55000,4,No</t>
  </si>
  <si>
    <t>7,Daniel White,Male,28,Sales,Sales Executive,Bachelor,Marketing,Single,58000,3,Yes</t>
  </si>
  <si>
    <t>8,Sophia Harris,Female,38,R&amp;D,Research Scientist,PhD,Life Sciences,Married,90000,4,No</t>
  </si>
  <si>
    <t>9,Matthew Clark,Male,50,HR,HR Manager,Master,Human Resources,Married,75000,2,Yes</t>
  </si>
  <si>
    <t>10,Ava Lewis,Female,27,Sales,Sales Representative,Bachelor,Marketing,Single,50000,3,No</t>
  </si>
  <si>
    <t>11,Wei Zhang,Male,33,R&amp;D,Research Scientist,Master,Life Sciences,Married,71000,3,Yes</t>
  </si>
  <si>
    <t>12,Hiroshi Tanaka,Male,44,R&amp;D,Lab Technician,Associate,Technical,Married,47000,2,No</t>
  </si>
  <si>
    <t>13,Arjun Mehta,Male,30,Sales,Sales Executive,Bachelor,Marketing,Single,62000,4,No</t>
  </si>
  <si>
    <t>14,Li Na,Female,26,HR,HR Executive,Bachelor,Human Resources,Single,54000,3,Yes</t>
  </si>
  <si>
    <t>15,Siti Rahman,Female,39,Sales,Sales Executive,Master,Marketing,Married,65000,2,Yes</t>
  </si>
  <si>
    <t>16,Nguyen Minh,Male,35,R&amp;D,Research Scientist,Master,Life Sciences,Married,72000,4,No</t>
  </si>
  <si>
    <t>17,Park Ji-hoon,Male,32,Sales,Sales Representative,Bachelor,Marketing,Single,51000,3,Yes</t>
  </si>
  <si>
    <t>18,Chen Wei,Male,29,R&amp;D,Lab Technician,Associate,Technical,Single,46000,2,No</t>
  </si>
  <si>
    <t>19,Ananya Sharma,Female,28,HR,HR Executive,Bachelor,Human Resources,Single,56000,4,No</t>
  </si>
  <si>
    <t>20,Takeshi Sato,Male,46,R&amp;D,Research Scientist,PhD,Life Sciences,Married,88000,3,Yes</t>
  </si>
  <si>
    <t>21,Ahmed Khan,Male,37,Sales,Sales Executive,Bachelor,Marketing,Married,64000,2,Yes</t>
  </si>
  <si>
    <t>22,Fatima Noor,Female,34,HR,HR Executive,Bachelor,Human Resources,Married,57000,3,No</t>
  </si>
  <si>
    <t>23,Omar Hassan,Male,42,R&amp;D,Lab Technician,Associate,Technical,Married,49000,2,Yes</t>
  </si>
  <si>
    <t>24,Ayesha Siddiqui,Female,31,Sales,Sales Representative,Bachelor,Marketing,Single,53000,4,No</t>
  </si>
  <si>
    <t>25,Bilal Ahmed,Male,36,Sales,Sales Executive,Master,Marketing,Married,66000,3,Yes</t>
  </si>
  <si>
    <t>26,Zainab Ali,Female,27,HR,HR Executive,Bachelor,Human Resources,Single,55000,4,No</t>
  </si>
  <si>
    <t>27,Yusuf Rahman,Male,40,R&amp;D,Research Scientist,Master,Life Sciences,Married,73000,2,Yes</t>
  </si>
  <si>
    <t>28,Mariam Sheikh,Female,33,Sales,Sales Executive,Bachelor,Marketing,Married,61000,3,No</t>
  </si>
  <si>
    <t>29,Imran Qureshi,Male,45,R&amp;D,Lab Technician,Associate,Technical,Married,47000,2,Yes</t>
  </si>
  <si>
    <t>30,Noor Ul Haq,Male,38,HR,HR Manager,Master,Human Resources,Married,70000,3,No</t>
  </si>
  <si>
    <t>31,Carlos Rivera,Male,29,Sales,Sales Executive,Bachelor,Marketing,Single,59000,3,Yes</t>
  </si>
  <si>
    <t>32,Maria Gonzalez,Female,35,R&amp;D,Research Scientist,Master,Life Sciences,Married,75000,4,No</t>
  </si>
  <si>
    <t>33,Ahmed Al-Farsi,Male,41,Sales,Sales Executive,Master,Marketing,Married,67000,2,Yes</t>
  </si>
  <si>
    <t>34,Lina Haddad,Female,30,HR,HR Executive,Bachelor,Human Resources,Single,56000,3,No</t>
  </si>
  <si>
    <t>35,John Peterson,Male,48,R&amp;D,Research Scientist,PhD,Life Sciences,Married,92000,4,No</t>
  </si>
  <si>
    <t>36,Priya Nair,Female,26,Sales,Sales Representative,Bachelor,Marketing,Single,52000,3,Yes</t>
  </si>
  <si>
    <t>37,Hassan Malik,Male,39,R&amp;D,Lab Technician,Associate,Technical,Married,48000,2,Yes</t>
  </si>
  <si>
    <t>38,Kevin Brown,Male,34,Sales,Sales Executive,Bachelor,Marketing,Married,61000,3,No</t>
  </si>
  <si>
    <t>39,Farah Mahmood,Female,32,HR,HR Executive,Bachelor,Human Resources,Married,58000,4,No</t>
  </si>
  <si>
    <t>40,Daniel Kim,Male,37,R&amp;D,Research Scientist,Master,Life Sciences,Married,76000,3,Yes</t>
  </si>
  <si>
    <t>Michael Johnson</t>
  </si>
  <si>
    <t>Male</t>
  </si>
  <si>
    <t>Sales</t>
  </si>
  <si>
    <t>Sales Executive</t>
  </si>
  <si>
    <t>Bachelor</t>
  </si>
  <si>
    <t>Marketing</t>
  </si>
  <si>
    <t>Married</t>
  </si>
  <si>
    <t>Yes</t>
  </si>
  <si>
    <t>Emily Carter</t>
  </si>
  <si>
    <t>Female</t>
  </si>
  <si>
    <t>R&amp;D</t>
  </si>
  <si>
    <t>Research Scientist</t>
  </si>
  <si>
    <t>Master</t>
  </si>
  <si>
    <t>Life Sciences</t>
  </si>
  <si>
    <t>Single</t>
  </si>
  <si>
    <t>No</t>
  </si>
  <si>
    <t>David Miller</t>
  </si>
  <si>
    <t>HR</t>
  </si>
  <si>
    <t>HR Manager</t>
  </si>
  <si>
    <t>Human Resources</t>
  </si>
  <si>
    <t>Sarah Thompson</t>
  </si>
  <si>
    <t>Sales Representative</t>
  </si>
  <si>
    <t>Divorced</t>
  </si>
  <si>
    <t>James Anderson</t>
  </si>
  <si>
    <t>Lab Technician</t>
  </si>
  <si>
    <t>Associate</t>
  </si>
  <si>
    <t>Technical</t>
  </si>
  <si>
    <t>Olivia Martinez</t>
  </si>
  <si>
    <t>HR Executive</t>
  </si>
  <si>
    <t>Daniel White</t>
  </si>
  <si>
    <t>Sophia Harris</t>
  </si>
  <si>
    <t>PhD</t>
  </si>
  <si>
    <t>Matthew Clark</t>
  </si>
  <si>
    <t>Ava Lewis</t>
  </si>
  <si>
    <t>Wei Zhang</t>
  </si>
  <si>
    <t>Hiroshi Tanaka</t>
  </si>
  <si>
    <t>Arjun Mehta</t>
  </si>
  <si>
    <t>Li Na</t>
  </si>
  <si>
    <t>Siti Rahman</t>
  </si>
  <si>
    <t>Nguyen Minh</t>
  </si>
  <si>
    <t>Park Ji-hoon</t>
  </si>
  <si>
    <t>Chen Wei</t>
  </si>
  <si>
    <t>Ananya Sharma</t>
  </si>
  <si>
    <t>Takeshi Sato</t>
  </si>
  <si>
    <t>Ahmed Khan</t>
  </si>
  <si>
    <t>Fatima Noor</t>
  </si>
  <si>
    <t>Omar Hassan</t>
  </si>
  <si>
    <t>Ayesha Siddiqui</t>
  </si>
  <si>
    <t>Bilal Ahmed</t>
  </si>
  <si>
    <t>Zainab Ali</t>
  </si>
  <si>
    <t>Yusuf Rahman</t>
  </si>
  <si>
    <t>Mariam Sheikh</t>
  </si>
  <si>
    <t>Imran Qureshi</t>
  </si>
  <si>
    <t>Noor Ul Haq</t>
  </si>
  <si>
    <t>Carlos Rivera</t>
  </si>
  <si>
    <t>Maria Gonzalez</t>
  </si>
  <si>
    <t>Ahmed Al-Farsi</t>
  </si>
  <si>
    <t>Lina Haddad</t>
  </si>
  <si>
    <t>John Peterson</t>
  </si>
  <si>
    <t>Priya Nair</t>
  </si>
  <si>
    <t>Hassan Malik</t>
  </si>
  <si>
    <t>Kevin Brown</t>
  </si>
  <si>
    <t>Farah Mahmood</t>
  </si>
  <si>
    <t>Daniel Kim</t>
  </si>
  <si>
    <t>AttritionFlag</t>
  </si>
  <si>
    <t>AgeGroup</t>
  </si>
  <si>
    <t>SalaryBan</t>
  </si>
  <si>
    <t>SatifactionLevel</t>
  </si>
  <si>
    <t>Total Attrition</t>
  </si>
  <si>
    <t>Avarage Age</t>
  </si>
  <si>
    <t>Avg  job Satisfaction</t>
  </si>
  <si>
    <t>Row Labels</t>
  </si>
  <si>
    <t>Grand Total</t>
  </si>
  <si>
    <t>Sum of AttritionFlag</t>
  </si>
  <si>
    <t xml:space="preserve"> </t>
  </si>
  <si>
    <t>25-34</t>
  </si>
  <si>
    <t>45-54</t>
  </si>
  <si>
    <t>Count of EmployeeID</t>
  </si>
  <si>
    <t>Sum of Salary</t>
  </si>
  <si>
    <t xml:space="preserve">  </t>
  </si>
  <si>
    <t xml:space="preserve"> Total Employees</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</si>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</sst>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409]* #,##0.00_ ;_-[$$-409]* \-#,##0.00\ ;_-[$$-409]* &quot;-&quot;??_ ;_-@_ "/>
    <numFmt numFmtId="165" formatCode="0.0"/>
  </numFmts>
  <fonts count="7" x14ac:knownFonts="1">
    <font>
      <sz val="11"/>
      <color theme="1"/>
      <name val="Century Gothic"/>
      <family val="2"/>
      <scheme val="minor"/>
    </font>
    <font>
      <sz val="11"/>
      <color theme="1"/>
      <name val="Century Gothic"/>
      <family val="2"/>
      <scheme val="minor"/>
    </font>
    <font>
      <b/>
      <sz val="11"/>
      <color theme="1"/>
      <name val="Century Gothic"/>
      <family val="2"/>
      <scheme val="minor"/>
    </font>
    <font>
      <sz val="11"/>
      <color theme="7" tint="0.39997558519241921"/>
      <name val="Century Gothic"/>
      <family val="2"/>
      <scheme val="minor"/>
    </font>
    <font>
      <sz val="11"/>
      <color theme="1"/>
      <name val="Calibri"/>
      <family val="2"/>
    </font>
    <font>
      <b/>
      <sz val="11"/>
      <color theme="1"/>
      <name val="Calibri"/>
      <family val="2"/>
    </font>
    <font>
      <sz val="11"/>
      <color theme="1"/>
      <name val="Calibri"/>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theme="4" tint="0.39997558519241921"/>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164" fontId="0" fillId="0" borderId="0" xfId="0" applyNumberFormat="1"/>
    <xf numFmtId="0" fontId="0" fillId="0" borderId="1" xfId="0" applyBorder="1" applyAlignment="1">
      <alignment horizontal="center"/>
    </xf>
    <xf numFmtId="164" fontId="0" fillId="0" borderId="1" xfId="1" applyNumberFormat="1" applyFont="1" applyBorder="1" applyAlignment="1">
      <alignment horizontal="center"/>
    </xf>
    <xf numFmtId="0" fontId="0" fillId="0" borderId="0" xfId="0" applyAlignment="1">
      <alignment horizontal="center"/>
    </xf>
    <xf numFmtId="165" fontId="0" fillId="0" borderId="0" xfId="0" applyNumberFormat="1"/>
    <xf numFmtId="1" fontId="0" fillId="0" borderId="1" xfId="0" applyNumberFormat="1" applyBorder="1" applyAlignment="1">
      <alignment horizontal="center"/>
    </xf>
    <xf numFmtId="1" fontId="0" fillId="0" borderId="2" xfId="0" applyNumberFormat="1" applyBorder="1" applyAlignment="1">
      <alignment horizontal="center"/>
    </xf>
    <xf numFmtId="0" fontId="0" fillId="0" borderId="3" xfId="0" applyBorder="1" applyAlignment="1">
      <alignment horizontal="center"/>
    </xf>
    <xf numFmtId="1" fontId="2" fillId="2" borderId="4" xfId="0" applyNumberFormat="1" applyFont="1" applyFill="1" applyBorder="1"/>
    <xf numFmtId="0" fontId="2" fillId="2" borderId="5" xfId="0" applyFont="1" applyFill="1" applyBorder="1"/>
    <xf numFmtId="164" fontId="2" fillId="2" borderId="5" xfId="1" applyNumberFormat="1" applyFont="1" applyFill="1" applyBorder="1"/>
    <xf numFmtId="1" fontId="2" fillId="2" borderId="5" xfId="0" applyNumberFormat="1" applyFont="1" applyFill="1" applyBorder="1"/>
    <xf numFmtId="0" fontId="2" fillId="2" borderId="6" xfId="0" applyFont="1" applyFill="1" applyBorder="1"/>
    <xf numFmtId="9" fontId="0" fillId="0" borderId="0" xfId="2" applyFont="1"/>
    <xf numFmtId="0" fontId="3" fillId="4" borderId="0" xfId="0" applyFont="1" applyFill="1"/>
    <xf numFmtId="0" fontId="3" fillId="4" borderId="0" xfId="0" applyFont="1" applyFill="1" applyAlignment="1">
      <alignment horizontal="center" vertical="center"/>
    </xf>
    <xf numFmtId="0" fontId="2" fillId="0" borderId="0" xfId="0" applyFont="1"/>
    <xf numFmtId="165" fontId="2" fillId="0" borderId="0" xfId="0" applyNumberFormat="1" applyFont="1"/>
    <xf numFmtId="0" fontId="3" fillId="4" borderId="0" xfId="0" applyFont="1" applyFill="1" applyAlignment="1">
      <alignment horizontal="left"/>
    </xf>
    <xf numFmtId="0" fontId="4" fillId="0" borderId="0" xfId="0" applyFont="1"/>
    <xf numFmtId="0" fontId="5" fillId="0" borderId="0" xfId="0" applyFont="1"/>
    <xf numFmtId="0" fontId="5" fillId="3" borderId="7" xfId="0" applyFont="1" applyFill="1" applyBorder="1"/>
    <xf numFmtId="0" fontId="6" fillId="0" borderId="0" xfId="0" pivotButton="1" applyFont="1"/>
    <xf numFmtId="0" fontId="6" fillId="0" borderId="0" xfId="0" applyFont="1"/>
    <xf numFmtId="0" fontId="6" fillId="0" borderId="0" xfId="0" applyFont="1" applyAlignment="1">
      <alignment horizontal="left"/>
    </xf>
    <xf numFmtId="164" fontId="6" fillId="0" borderId="0" xfId="0" applyNumberFormat="1" applyFont="1"/>
    <xf numFmtId="0" fontId="6" fillId="0" borderId="0" xfId="0" applyFont="1" applyAlignment="1">
      <alignment horizontal="left" indent="1"/>
    </xf>
  </cellXfs>
  <cellStyles count="3">
    <cellStyle name="Currency" xfId="1" builtinId="4"/>
    <cellStyle name="Normal" xfId="0" builtinId="0"/>
    <cellStyle name="Per cent" xfId="2" builtinId="5"/>
  </cellStyles>
  <dxfs count="65">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minor"/>
      </font>
      <numFmt numFmtId="164" formatCode="_-[$$-409]* #,##0.00_ ;_-[$$-409]* \-#,##0.00\ ;_-[$$-409]* &quot;-&quot;??_ ;_-@_ "/>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entury Gothic"/>
        <family val="2"/>
        <scheme val="minor"/>
      </font>
      <fill>
        <patternFill patternType="solid">
          <fgColor indexed="64"/>
          <bgColor rgb="FFFFFF0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 in Excel.xlsx]Calcuation!PivotTable6</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DEPARTMENT</a:t>
            </a:r>
            <a:r>
              <a:rPr lang="en-US" baseline="0"/>
              <a:t> ATTRITION</a:t>
            </a:r>
          </a:p>
          <a:p>
            <a:pPr>
              <a:defRPr/>
            </a:pPr>
            <a:endParaRPr lang="en-US"/>
          </a:p>
        </c:rich>
      </c:tx>
      <c:layout>
        <c:manualLayout>
          <c:xMode val="edge"/>
          <c:yMode val="edge"/>
          <c:x val="0.15688553891435356"/>
          <c:y val="0.1152709251343362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doughnutChart>
        <c:varyColors val="1"/>
        <c:ser>
          <c:idx val="0"/>
          <c:order val="0"/>
          <c:tx>
            <c:strRef>
              <c:f>Calcuation!$B$5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C62-4771-A003-30F53FFCC906}"/>
              </c:ext>
            </c:extLst>
          </c:dPt>
          <c:dPt>
            <c:idx val="1"/>
            <c:bubble3D val="0"/>
            <c:spPr>
              <a:solidFill>
                <a:schemeClr val="accent2"/>
              </a:solidFill>
              <a:ln>
                <a:noFill/>
              </a:ln>
              <a:effectLst/>
            </c:spPr>
            <c:extLst>
              <c:ext xmlns:c16="http://schemas.microsoft.com/office/drawing/2014/chart" uri="{C3380CC4-5D6E-409C-BE32-E72D297353CC}">
                <c16:uniqueId val="{00000003-7C62-4771-A003-30F53FFCC906}"/>
              </c:ext>
            </c:extLst>
          </c:dPt>
          <c:dPt>
            <c:idx val="2"/>
            <c:bubble3D val="0"/>
            <c:spPr>
              <a:solidFill>
                <a:schemeClr val="accent3"/>
              </a:solidFill>
              <a:ln>
                <a:noFill/>
              </a:ln>
              <a:effectLst/>
            </c:spPr>
            <c:extLst>
              <c:ext xmlns:c16="http://schemas.microsoft.com/office/drawing/2014/chart" uri="{C3380CC4-5D6E-409C-BE32-E72D297353CC}">
                <c16:uniqueId val="{00000005-7C62-4771-A003-30F53FFCC90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Calcuation!$A$6:$A$8</c:f>
              <c:strCache>
                <c:ptCount val="2"/>
                <c:pt idx="0">
                  <c:v>HR</c:v>
                </c:pt>
                <c:pt idx="1">
                  <c:v>Sales</c:v>
                </c:pt>
              </c:strCache>
            </c:strRef>
          </c:cat>
          <c:val>
            <c:numRef>
              <c:f>Calcuation!$B$6:$B$8</c:f>
              <c:numCache>
                <c:formatCode>General</c:formatCode>
                <c:ptCount val="2"/>
                <c:pt idx="0">
                  <c:v>4</c:v>
                </c:pt>
                <c:pt idx="1">
                  <c:v>8</c:v>
                </c:pt>
              </c:numCache>
            </c:numRef>
          </c:val>
          <c:extLst>
            <c:ext xmlns:c16="http://schemas.microsoft.com/office/drawing/2014/chart" uri="{C3380CC4-5D6E-409C-BE32-E72D297353CC}">
              <c16:uniqueId val="{00000000-F623-4191-B1B1-FADB041EAACE}"/>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 in Excel.xlsx]Calcuation!PivotTable7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ACTRITION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Calcuation!$F$5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Calcuation!$E$6:$E$8</c:f>
              <c:strCache>
                <c:ptCount val="2"/>
                <c:pt idx="0">
                  <c:v>25-34</c:v>
                </c:pt>
                <c:pt idx="1">
                  <c:v>45-54</c:v>
                </c:pt>
              </c:strCache>
            </c:strRef>
          </c:cat>
          <c:val>
            <c:numRef>
              <c:f>Calcuation!$F$6:$F$8</c:f>
              <c:numCache>
                <c:formatCode>General</c:formatCode>
                <c:ptCount val="2"/>
                <c:pt idx="0">
                  <c:v>7</c:v>
                </c:pt>
                <c:pt idx="1">
                  <c:v>5</c:v>
                </c:pt>
              </c:numCache>
            </c:numRef>
          </c:val>
          <c:extLst>
            <c:ext xmlns:c16="http://schemas.microsoft.com/office/drawing/2014/chart" uri="{C3380CC4-5D6E-409C-BE32-E72D297353CC}">
              <c16:uniqueId val="{00000000-967B-43D8-9D9C-36B39B8FDC84}"/>
            </c:ext>
          </c:extLst>
        </c:ser>
        <c:dLbls>
          <c:dLblPos val="outEnd"/>
          <c:showLegendKey val="0"/>
          <c:showVal val="1"/>
          <c:showCatName val="0"/>
          <c:showSerName val="0"/>
          <c:showPercent val="0"/>
          <c:showBubbleSize val="0"/>
        </c:dLbls>
        <c:gapWidth val="219"/>
        <c:overlap val="-27"/>
        <c:axId val="122148160"/>
        <c:axId val="122150560"/>
      </c:barChart>
      <c:catAx>
        <c:axId val="12214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50560"/>
        <c:crosses val="autoZero"/>
        <c:auto val="1"/>
        <c:lblAlgn val="ctr"/>
        <c:lblOffset val="100"/>
        <c:noMultiLvlLbl val="0"/>
      </c:catAx>
      <c:valAx>
        <c:axId val="1221505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214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 in Excel.xlsx]Calcuation!PivotTable8</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Job</a:t>
            </a:r>
            <a:r>
              <a:rPr lang="en-US" b="1" baseline="0"/>
              <a:t> field Attrotion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s>
    <c:plotArea>
      <c:layout/>
      <c:pieChart>
        <c:varyColors val="1"/>
        <c:ser>
          <c:idx val="0"/>
          <c:order val="0"/>
          <c:tx>
            <c:strRef>
              <c:f>Calcuation!$J$5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4FD-4D2C-B266-F30D5F16AE72}"/>
              </c:ext>
            </c:extLst>
          </c:dPt>
          <c:dPt>
            <c:idx val="1"/>
            <c:bubble3D val="0"/>
            <c:spPr>
              <a:solidFill>
                <a:schemeClr val="accent2"/>
              </a:solidFill>
              <a:ln>
                <a:noFill/>
              </a:ln>
              <a:effectLst/>
            </c:spPr>
            <c:extLst>
              <c:ext xmlns:c16="http://schemas.microsoft.com/office/drawing/2014/chart" uri="{C3380CC4-5D6E-409C-BE32-E72D297353CC}">
                <c16:uniqueId val="{00000003-D4FD-4D2C-B266-F30D5F16AE72}"/>
              </c:ext>
            </c:extLst>
          </c:dPt>
          <c:dPt>
            <c:idx val="2"/>
            <c:bubble3D val="0"/>
            <c:spPr>
              <a:solidFill>
                <a:schemeClr val="accent3"/>
              </a:solidFill>
              <a:ln>
                <a:noFill/>
              </a:ln>
              <a:effectLst/>
            </c:spPr>
            <c:extLst>
              <c:ext xmlns:c16="http://schemas.microsoft.com/office/drawing/2014/chart" uri="{C3380CC4-5D6E-409C-BE32-E72D297353CC}">
                <c16:uniqueId val="{00000005-D4FD-4D2C-B266-F30D5F16AE72}"/>
              </c:ext>
            </c:extLst>
          </c:dPt>
          <c:dPt>
            <c:idx val="3"/>
            <c:bubble3D val="0"/>
            <c:spPr>
              <a:solidFill>
                <a:schemeClr val="accent4"/>
              </a:solidFill>
              <a:ln>
                <a:noFill/>
              </a:ln>
              <a:effectLst/>
            </c:spPr>
            <c:extLst>
              <c:ext xmlns:c16="http://schemas.microsoft.com/office/drawing/2014/chart" uri="{C3380CC4-5D6E-409C-BE32-E72D297353CC}">
                <c16:uniqueId val="{00000007-D4FD-4D2C-B266-F30D5F16AE72}"/>
              </c:ext>
            </c:extLst>
          </c:dPt>
          <c:dPt>
            <c:idx val="4"/>
            <c:bubble3D val="0"/>
            <c:spPr>
              <a:solidFill>
                <a:schemeClr val="accent5"/>
              </a:solidFill>
              <a:ln>
                <a:noFill/>
              </a:ln>
              <a:effectLst/>
            </c:spPr>
            <c:extLst>
              <c:ext xmlns:c16="http://schemas.microsoft.com/office/drawing/2014/chart" uri="{C3380CC4-5D6E-409C-BE32-E72D297353CC}">
                <c16:uniqueId val="{00000009-D4FD-4D2C-B266-F30D5F16AE72}"/>
              </c:ext>
            </c:extLst>
          </c:dPt>
          <c:dPt>
            <c:idx val="5"/>
            <c:bubble3D val="0"/>
            <c:spPr>
              <a:solidFill>
                <a:schemeClr val="accent6"/>
              </a:solidFill>
              <a:ln>
                <a:noFill/>
              </a:ln>
              <a:effectLst/>
            </c:spPr>
            <c:extLst>
              <c:ext xmlns:c16="http://schemas.microsoft.com/office/drawing/2014/chart" uri="{C3380CC4-5D6E-409C-BE32-E72D297353CC}">
                <c16:uniqueId val="{0000000B-D4FD-4D2C-B266-F30D5F16AE7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Calcuation!$I$6:$I$10</c:f>
              <c:strCache>
                <c:ptCount val="4"/>
                <c:pt idx="0">
                  <c:v>HR Executive</c:v>
                </c:pt>
                <c:pt idx="1">
                  <c:v>HR Manager</c:v>
                </c:pt>
                <c:pt idx="2">
                  <c:v>Sales Executive</c:v>
                </c:pt>
                <c:pt idx="3">
                  <c:v>Sales Representative</c:v>
                </c:pt>
              </c:strCache>
            </c:strRef>
          </c:cat>
          <c:val>
            <c:numRef>
              <c:f>Calcuation!$J$6:$J$10</c:f>
              <c:numCache>
                <c:formatCode>General</c:formatCode>
                <c:ptCount val="4"/>
                <c:pt idx="0">
                  <c:v>2</c:v>
                </c:pt>
                <c:pt idx="1">
                  <c:v>2</c:v>
                </c:pt>
                <c:pt idx="2">
                  <c:v>8</c:v>
                </c:pt>
                <c:pt idx="3">
                  <c:v>0</c:v>
                </c:pt>
              </c:numCache>
            </c:numRef>
          </c:val>
          <c:extLst>
            <c:ext xmlns:c16="http://schemas.microsoft.com/office/drawing/2014/chart" uri="{C3380CC4-5D6E-409C-BE32-E72D297353CC}">
              <c16:uniqueId val="{00000000-B49D-40E3-B480-DFC8F4CCECE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 in Excel.xlsx]Calcuation!PivotTable11</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Employee Gender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Calcuation!$E$14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827C-456C-935C-35F0500002C0}"/>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827C-456C-935C-35F0500002C0}"/>
              </c:ext>
            </c:extLst>
          </c:dPt>
          <c:cat>
            <c:strRef>
              <c:f>Calcuation!$D$15:$D$17</c:f>
              <c:strCache>
                <c:ptCount val="2"/>
                <c:pt idx="0">
                  <c:v>Female</c:v>
                </c:pt>
                <c:pt idx="1">
                  <c:v>Male</c:v>
                </c:pt>
              </c:strCache>
            </c:strRef>
          </c:cat>
          <c:val>
            <c:numRef>
              <c:f>Calcuation!$E$15:$E$17</c:f>
              <c:numCache>
                <c:formatCode>General</c:formatCode>
                <c:ptCount val="2"/>
                <c:pt idx="0">
                  <c:v>13</c:v>
                </c:pt>
                <c:pt idx="1">
                  <c:v>12</c:v>
                </c:pt>
              </c:numCache>
            </c:numRef>
          </c:val>
          <c:extLst>
            <c:ext xmlns:c16="http://schemas.microsoft.com/office/drawing/2014/chart" uri="{C3380CC4-5D6E-409C-BE32-E72D297353CC}">
              <c16:uniqueId val="{00000004-827C-456C-935C-35F0500002C0}"/>
            </c:ext>
          </c:extLst>
        </c:ser>
        <c:dLbls>
          <c:showLegendKey val="0"/>
          <c:showVal val="0"/>
          <c:showCatName val="0"/>
          <c:showSerName val="0"/>
          <c:showPercent val="0"/>
          <c:showBubbleSize val="0"/>
        </c:dLbls>
        <c:gapWidth val="268"/>
        <c:axId val="1043220176"/>
        <c:axId val="1043222576"/>
      </c:barChart>
      <c:catAx>
        <c:axId val="1043220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222576"/>
        <c:crosses val="autoZero"/>
        <c:auto val="1"/>
        <c:lblAlgn val="ctr"/>
        <c:lblOffset val="100"/>
        <c:noMultiLvlLbl val="0"/>
      </c:catAx>
      <c:valAx>
        <c:axId val="104322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22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 in Excel.xlsx]Calcuation!PivotTable12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EDUCTION WISE ATTRITION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Calcuation!$H$18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Calcuation!$G$19:$G$21</c:f>
              <c:strCache>
                <c:ptCount val="2"/>
                <c:pt idx="0">
                  <c:v>Master</c:v>
                </c:pt>
                <c:pt idx="1">
                  <c:v>Bachelor</c:v>
                </c:pt>
              </c:strCache>
            </c:strRef>
          </c:cat>
          <c:val>
            <c:numRef>
              <c:f>Calcuation!$H$19:$H$21</c:f>
              <c:numCache>
                <c:formatCode>General</c:formatCode>
                <c:ptCount val="2"/>
                <c:pt idx="0">
                  <c:v>4</c:v>
                </c:pt>
                <c:pt idx="1">
                  <c:v>8</c:v>
                </c:pt>
              </c:numCache>
            </c:numRef>
          </c:val>
          <c:extLst>
            <c:ext xmlns:c16="http://schemas.microsoft.com/office/drawing/2014/chart" uri="{C3380CC4-5D6E-409C-BE32-E72D297353CC}">
              <c16:uniqueId val="{00000000-B789-4AC4-9EA1-7F0AC93137A3}"/>
            </c:ext>
          </c:extLst>
        </c:ser>
        <c:dLbls>
          <c:dLblPos val="outEnd"/>
          <c:showLegendKey val="0"/>
          <c:showVal val="1"/>
          <c:showCatName val="0"/>
          <c:showSerName val="0"/>
          <c:showPercent val="0"/>
          <c:showBubbleSize val="0"/>
        </c:dLbls>
        <c:gapWidth val="19"/>
        <c:axId val="19971584"/>
        <c:axId val="1032215760"/>
      </c:barChart>
      <c:catAx>
        <c:axId val="1997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215760"/>
        <c:crosses val="autoZero"/>
        <c:auto val="1"/>
        <c:lblAlgn val="ctr"/>
        <c:lblOffset val="100"/>
        <c:noMultiLvlLbl val="0"/>
      </c:catAx>
      <c:valAx>
        <c:axId val="1032215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 in Excel.xlsx]Calcuation!PivotTable13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MARITAL STUTAS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Calcuation!$K$15</c:f>
              <c:strCache>
                <c:ptCount val="1"/>
                <c:pt idx="0">
                  <c:v>Sum of AttritionFlag</c:v>
                </c:pt>
              </c:strCache>
            </c:strRef>
          </c:tx>
          <c:spPr>
            <a:solidFill>
              <a:schemeClr val="accent1"/>
            </a:solidFill>
            <a:ln>
              <a:noFill/>
            </a:ln>
            <a:effectLst/>
          </c:spPr>
          <c:invertIfNegative val="0"/>
          <c:cat>
            <c:multiLvlStrRef>
              <c:f>Calcuation!$J$16:$J$23</c:f>
              <c:multiLvlStrCache>
                <c:ptCount val="4"/>
                <c:lvl>
                  <c:pt idx="0">
                    <c:v>Bachelor</c:v>
                  </c:pt>
                  <c:pt idx="1">
                    <c:v>Bachelor</c:v>
                  </c:pt>
                  <c:pt idx="2">
                    <c:v>Master</c:v>
                  </c:pt>
                  <c:pt idx="3">
                    <c:v>Bachelor</c:v>
                  </c:pt>
                </c:lvl>
                <c:lvl>
                  <c:pt idx="0">
                    <c:v>Divorced</c:v>
                  </c:pt>
                  <c:pt idx="1">
                    <c:v>Married</c:v>
                  </c:pt>
                  <c:pt idx="3">
                    <c:v>Single</c:v>
                  </c:pt>
                </c:lvl>
              </c:multiLvlStrCache>
            </c:multiLvlStrRef>
          </c:cat>
          <c:val>
            <c:numRef>
              <c:f>Calcuation!$K$16:$K$23</c:f>
              <c:numCache>
                <c:formatCode>General</c:formatCode>
                <c:ptCount val="4"/>
                <c:pt idx="0">
                  <c:v>0</c:v>
                </c:pt>
                <c:pt idx="1">
                  <c:v>3</c:v>
                </c:pt>
                <c:pt idx="2">
                  <c:v>4</c:v>
                </c:pt>
                <c:pt idx="3">
                  <c:v>5</c:v>
                </c:pt>
              </c:numCache>
            </c:numRef>
          </c:val>
          <c:extLst>
            <c:ext xmlns:c16="http://schemas.microsoft.com/office/drawing/2014/chart" uri="{C3380CC4-5D6E-409C-BE32-E72D297353CC}">
              <c16:uniqueId val="{00000000-F464-40C1-B83A-75C936B42CF1}"/>
            </c:ext>
          </c:extLst>
        </c:ser>
        <c:ser>
          <c:idx val="1"/>
          <c:order val="1"/>
          <c:tx>
            <c:strRef>
              <c:f>Calcuation!$L$15</c:f>
              <c:strCache>
                <c:ptCount val="1"/>
                <c:pt idx="0">
                  <c:v>Sum of Salary</c:v>
                </c:pt>
              </c:strCache>
            </c:strRef>
          </c:tx>
          <c:spPr>
            <a:solidFill>
              <a:schemeClr val="accent2"/>
            </a:solidFill>
            <a:ln>
              <a:noFill/>
            </a:ln>
            <a:effectLst/>
          </c:spPr>
          <c:invertIfNegative val="0"/>
          <c:cat>
            <c:multiLvlStrRef>
              <c:f>Calcuation!$J$16:$J$23</c:f>
              <c:multiLvlStrCache>
                <c:ptCount val="4"/>
                <c:lvl>
                  <c:pt idx="0">
                    <c:v>Bachelor</c:v>
                  </c:pt>
                  <c:pt idx="1">
                    <c:v>Bachelor</c:v>
                  </c:pt>
                  <c:pt idx="2">
                    <c:v>Master</c:v>
                  </c:pt>
                  <c:pt idx="3">
                    <c:v>Bachelor</c:v>
                  </c:pt>
                </c:lvl>
                <c:lvl>
                  <c:pt idx="0">
                    <c:v>Divorced</c:v>
                  </c:pt>
                  <c:pt idx="1">
                    <c:v>Married</c:v>
                  </c:pt>
                  <c:pt idx="3">
                    <c:v>Single</c:v>
                  </c:pt>
                </c:lvl>
              </c:multiLvlStrCache>
            </c:multiLvlStrRef>
          </c:cat>
          <c:val>
            <c:numRef>
              <c:f>Calcuation!$L$16:$L$23</c:f>
              <c:numCache>
                <c:formatCode>_-[$$-409]* #,##0.00_ ;_-[$$-409]* \-#,##0.00\ ;_-[$$-409]* "-"??_ ;_-@_ </c:formatCode>
                <c:ptCount val="4"/>
                <c:pt idx="0">
                  <c:v>52000</c:v>
                </c:pt>
                <c:pt idx="1">
                  <c:v>361000</c:v>
                </c:pt>
                <c:pt idx="2">
                  <c:v>411000</c:v>
                </c:pt>
                <c:pt idx="3">
                  <c:v>661000</c:v>
                </c:pt>
              </c:numCache>
            </c:numRef>
          </c:val>
          <c:extLst>
            <c:ext xmlns:c16="http://schemas.microsoft.com/office/drawing/2014/chart" uri="{C3380CC4-5D6E-409C-BE32-E72D297353CC}">
              <c16:uniqueId val="{00000001-F464-40C1-B83A-75C936B42CF1}"/>
            </c:ext>
          </c:extLst>
        </c:ser>
        <c:dLbls>
          <c:showLegendKey val="0"/>
          <c:showVal val="0"/>
          <c:showCatName val="0"/>
          <c:showSerName val="0"/>
          <c:showPercent val="0"/>
          <c:showBubbleSize val="0"/>
        </c:dLbls>
        <c:gapWidth val="150"/>
        <c:axId val="30815440"/>
        <c:axId val="30812560"/>
      </c:barChart>
      <c:catAx>
        <c:axId val="30815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12560"/>
        <c:crosses val="autoZero"/>
        <c:auto val="1"/>
        <c:lblAlgn val="ctr"/>
        <c:lblOffset val="100"/>
        <c:noMultiLvlLbl val="0"/>
      </c:catAx>
      <c:valAx>
        <c:axId val="30812560"/>
        <c:scaling>
          <c:orientation val="minMax"/>
        </c:scaling>
        <c:delete val="1"/>
        <c:axPos val="l"/>
        <c:numFmt formatCode="General" sourceLinked="1"/>
        <c:majorTickMark val="none"/>
        <c:minorTickMark val="none"/>
        <c:tickLblPos val="nextTo"/>
        <c:crossAx val="3081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81360</xdr:colOff>
      <xdr:row>0</xdr:row>
      <xdr:rowOff>111673</xdr:rowOff>
    </xdr:from>
    <xdr:to>
      <xdr:col>5</xdr:col>
      <xdr:colOff>518948</xdr:colOff>
      <xdr:row>4</xdr:row>
      <xdr:rowOff>137949</xdr:rowOff>
    </xdr:to>
    <xdr:sp macro="" textlink="">
      <xdr:nvSpPr>
        <xdr:cNvPr id="2" name="Rectangle 1">
          <a:extLst>
            <a:ext uri="{FF2B5EF4-FFF2-40B4-BE49-F238E27FC236}">
              <a16:creationId xmlns:a16="http://schemas.microsoft.com/office/drawing/2014/main" id="{212CC78E-7B35-1F38-E4A1-E813D5013884}"/>
            </a:ext>
          </a:extLst>
        </xdr:cNvPr>
        <xdr:cNvSpPr/>
      </xdr:nvSpPr>
      <xdr:spPr>
        <a:xfrm>
          <a:off x="81360" y="111673"/>
          <a:ext cx="3492157" cy="762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HR</a:t>
          </a:r>
          <a:r>
            <a:rPr lang="en-IN" sz="2000" baseline="0"/>
            <a:t> ANALYTICS </a:t>
          </a:r>
          <a:r>
            <a:rPr lang="en-IN" sz="2000" b="1" baseline="0">
              <a:solidFill>
                <a:srgbClr val="FFFF00"/>
              </a:solidFill>
            </a:rPr>
            <a:t>VVW MEDIA</a:t>
          </a:r>
          <a:r>
            <a:rPr lang="en-IN" sz="2000" b="1" baseline="0"/>
            <a:t> </a:t>
          </a:r>
          <a:r>
            <a:rPr lang="en-IN" sz="2000" baseline="0"/>
            <a:t>DASHBOARD</a:t>
          </a:r>
          <a:endParaRPr lang="en-IN" sz="2000"/>
        </a:p>
      </xdr:txBody>
    </xdr:sp>
    <xdr:clientData/>
  </xdr:twoCellAnchor>
  <xdr:twoCellAnchor>
    <xdr:from>
      <xdr:col>5</xdr:col>
      <xdr:colOff>571502</xdr:colOff>
      <xdr:row>0</xdr:row>
      <xdr:rowOff>118242</xdr:rowOff>
    </xdr:from>
    <xdr:to>
      <xdr:col>17</xdr:col>
      <xdr:colOff>72081</xdr:colOff>
      <xdr:row>4</xdr:row>
      <xdr:rowOff>131380</xdr:rowOff>
    </xdr:to>
    <xdr:sp macro="" textlink="">
      <xdr:nvSpPr>
        <xdr:cNvPr id="3" name="Rectangle 2">
          <a:extLst>
            <a:ext uri="{FF2B5EF4-FFF2-40B4-BE49-F238E27FC236}">
              <a16:creationId xmlns:a16="http://schemas.microsoft.com/office/drawing/2014/main" id="{D7061D22-736A-8548-9F61-88BAF53E6E06}"/>
            </a:ext>
          </a:extLst>
        </xdr:cNvPr>
        <xdr:cNvSpPr/>
      </xdr:nvSpPr>
      <xdr:spPr>
        <a:xfrm>
          <a:off x="3609205" y="118242"/>
          <a:ext cx="6791065" cy="75454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13601</xdr:colOff>
      <xdr:row>0</xdr:row>
      <xdr:rowOff>64607</xdr:rowOff>
    </xdr:from>
    <xdr:to>
      <xdr:col>7</xdr:col>
      <xdr:colOff>47094</xdr:colOff>
      <xdr:row>4</xdr:row>
      <xdr:rowOff>78826</xdr:rowOff>
    </xdr:to>
    <xdr:pic>
      <xdr:nvPicPr>
        <xdr:cNvPr id="5" name="Graphic 4" descr="Thumbs up sign with solid fill">
          <a:extLst>
            <a:ext uri="{FF2B5EF4-FFF2-40B4-BE49-F238E27FC236}">
              <a16:creationId xmlns:a16="http://schemas.microsoft.com/office/drawing/2014/main" id="{E89184A9-4509-EFEA-6F81-3E3E28095B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79084" y="64607"/>
          <a:ext cx="708984" cy="749943"/>
        </a:xfrm>
        <a:prstGeom prst="rect">
          <a:avLst/>
        </a:prstGeom>
      </xdr:spPr>
    </xdr:pic>
    <xdr:clientData/>
  </xdr:twoCellAnchor>
  <xdr:oneCellAnchor>
    <xdr:from>
      <xdr:col>12</xdr:col>
      <xdr:colOff>445496</xdr:colOff>
      <xdr:row>2</xdr:row>
      <xdr:rowOff>59120</xdr:rowOff>
    </xdr:from>
    <xdr:ext cx="546418" cy="735725"/>
    <xdr:sp macro="" textlink="">
      <xdr:nvSpPr>
        <xdr:cNvPr id="8" name="TextBox 7">
          <a:extLst>
            <a:ext uri="{FF2B5EF4-FFF2-40B4-BE49-F238E27FC236}">
              <a16:creationId xmlns:a16="http://schemas.microsoft.com/office/drawing/2014/main" id="{1AF19074-7B21-EFA4-020D-F969FB48539C}"/>
            </a:ext>
          </a:extLst>
        </xdr:cNvPr>
        <xdr:cNvSpPr txBox="1"/>
      </xdr:nvSpPr>
      <xdr:spPr>
        <a:xfrm>
          <a:off x="7776462" y="426982"/>
          <a:ext cx="546418" cy="735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endParaRPr lang="en-IN" sz="1100" b="1">
            <a:solidFill>
              <a:schemeClr val="bg1"/>
            </a:solidFill>
          </a:endParaRPr>
        </a:p>
      </xdr:txBody>
    </xdr:sp>
    <xdr:clientData/>
  </xdr:oneCellAnchor>
  <xdr:twoCellAnchor>
    <xdr:from>
      <xdr:col>8</xdr:col>
      <xdr:colOff>343975</xdr:colOff>
      <xdr:row>1</xdr:row>
      <xdr:rowOff>166254</xdr:rowOff>
    </xdr:from>
    <xdr:to>
      <xdr:col>9</xdr:col>
      <xdr:colOff>203638</xdr:colOff>
      <xdr:row>3</xdr:row>
      <xdr:rowOff>131379</xdr:rowOff>
    </xdr:to>
    <xdr:sp macro="" textlink="">
      <xdr:nvSpPr>
        <xdr:cNvPr id="10" name="Star: 5 Points 9">
          <a:extLst>
            <a:ext uri="{FF2B5EF4-FFF2-40B4-BE49-F238E27FC236}">
              <a16:creationId xmlns:a16="http://schemas.microsoft.com/office/drawing/2014/main" id="{8DF927E0-B697-B21D-436E-7F5732839864}"/>
            </a:ext>
          </a:extLst>
        </xdr:cNvPr>
        <xdr:cNvSpPr/>
      </xdr:nvSpPr>
      <xdr:spPr>
        <a:xfrm>
          <a:off x="5231285" y="350185"/>
          <a:ext cx="470577" cy="332987"/>
        </a:xfrm>
        <a:prstGeom prst="star5">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65690</xdr:colOff>
      <xdr:row>0</xdr:row>
      <xdr:rowOff>91966</xdr:rowOff>
    </xdr:from>
    <xdr:ext cx="939361" cy="735724"/>
    <xdr:sp macro="" textlink="">
      <xdr:nvSpPr>
        <xdr:cNvPr id="21" name="TextBox 20">
          <a:extLst>
            <a:ext uri="{FF2B5EF4-FFF2-40B4-BE49-F238E27FC236}">
              <a16:creationId xmlns:a16="http://schemas.microsoft.com/office/drawing/2014/main" id="{BB15B878-A172-98F7-FBB4-7CE80B74DD26}"/>
            </a:ext>
          </a:extLst>
        </xdr:cNvPr>
        <xdr:cNvSpPr txBox="1"/>
      </xdr:nvSpPr>
      <xdr:spPr>
        <a:xfrm>
          <a:off x="4342087" y="91966"/>
          <a:ext cx="939361" cy="7357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solidFill>
              <a:effectLst/>
              <a:latin typeface="+mn-lt"/>
              <a:ea typeface="+mn-ea"/>
              <a:cs typeface="+mn-cs"/>
            </a:rPr>
            <a:t>Job </a:t>
          </a:r>
          <a:endParaRPr lang="en-IN" sz="1100">
            <a:solidFill>
              <a:schemeClr val="bg1"/>
            </a:solidFill>
            <a:effectLst/>
          </a:endParaRPr>
        </a:p>
        <a:p>
          <a:pPr algn="ctr"/>
          <a:r>
            <a:rPr lang="en-IN" sz="1100" b="1">
              <a:solidFill>
                <a:schemeClr val="bg1"/>
              </a:solidFill>
              <a:effectLst/>
              <a:latin typeface="+mn-lt"/>
              <a:ea typeface="+mn-ea"/>
              <a:cs typeface="+mn-cs"/>
            </a:rPr>
            <a:t>Satisfaction</a:t>
          </a:r>
          <a:endParaRPr lang="en-IN" sz="1100">
            <a:solidFill>
              <a:schemeClr val="bg1"/>
            </a:solidFill>
            <a:effectLst/>
          </a:endParaRPr>
        </a:p>
        <a:p>
          <a:pPr algn="ctr"/>
          <a:r>
            <a:rPr lang="en-IN" sz="1100" b="1">
              <a:solidFill>
                <a:schemeClr val="bg1"/>
              </a:solidFill>
              <a:effectLst/>
              <a:latin typeface="+mn-lt"/>
              <a:ea typeface="+mn-ea"/>
              <a:cs typeface="+mn-cs"/>
            </a:rPr>
            <a:t>rating</a:t>
          </a:r>
          <a:endParaRPr lang="en-IN" sz="1100">
            <a:solidFill>
              <a:schemeClr val="bg1"/>
            </a:solidFill>
            <a:effectLst/>
          </a:endParaRPr>
        </a:p>
        <a:p>
          <a:endParaRPr lang="en-IN" sz="1100"/>
        </a:p>
      </xdr:txBody>
    </xdr:sp>
    <xdr:clientData/>
  </xdr:oneCellAnchor>
  <xdr:twoCellAnchor>
    <xdr:from>
      <xdr:col>9</xdr:col>
      <xdr:colOff>259892</xdr:colOff>
      <xdr:row>1</xdr:row>
      <xdr:rowOff>167568</xdr:rowOff>
    </xdr:from>
    <xdr:to>
      <xdr:col>10</xdr:col>
      <xdr:colOff>119555</xdr:colOff>
      <xdr:row>3</xdr:row>
      <xdr:rowOff>132693</xdr:rowOff>
    </xdr:to>
    <xdr:sp macro="" textlink="">
      <xdr:nvSpPr>
        <xdr:cNvPr id="22" name="Star: 5 Points 21">
          <a:extLst>
            <a:ext uri="{FF2B5EF4-FFF2-40B4-BE49-F238E27FC236}">
              <a16:creationId xmlns:a16="http://schemas.microsoft.com/office/drawing/2014/main" id="{0A3398F2-2D21-4A63-9F57-0C91E1E8BF33}"/>
            </a:ext>
          </a:extLst>
        </xdr:cNvPr>
        <xdr:cNvSpPr/>
      </xdr:nvSpPr>
      <xdr:spPr>
        <a:xfrm>
          <a:off x="5758116" y="351499"/>
          <a:ext cx="470577" cy="332987"/>
        </a:xfrm>
        <a:prstGeom prst="star5">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195516</xdr:colOff>
      <xdr:row>1</xdr:row>
      <xdr:rowOff>155744</xdr:rowOff>
    </xdr:from>
    <xdr:to>
      <xdr:col>11</xdr:col>
      <xdr:colOff>55179</xdr:colOff>
      <xdr:row>3</xdr:row>
      <xdr:rowOff>120869</xdr:rowOff>
    </xdr:to>
    <xdr:sp macro="" textlink="">
      <xdr:nvSpPr>
        <xdr:cNvPr id="23" name="Star: 5 Points 22">
          <a:extLst>
            <a:ext uri="{FF2B5EF4-FFF2-40B4-BE49-F238E27FC236}">
              <a16:creationId xmlns:a16="http://schemas.microsoft.com/office/drawing/2014/main" id="{DE336491-991F-483C-9DFC-6026E7C7D08E}"/>
            </a:ext>
          </a:extLst>
        </xdr:cNvPr>
        <xdr:cNvSpPr/>
      </xdr:nvSpPr>
      <xdr:spPr>
        <a:xfrm>
          <a:off x="6304654" y="339675"/>
          <a:ext cx="470577" cy="332987"/>
        </a:xfrm>
        <a:prstGeom prst="star5">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183692</xdr:colOff>
      <xdr:row>1</xdr:row>
      <xdr:rowOff>170195</xdr:rowOff>
    </xdr:from>
    <xdr:to>
      <xdr:col>12</xdr:col>
      <xdr:colOff>43355</xdr:colOff>
      <xdr:row>3</xdr:row>
      <xdr:rowOff>135320</xdr:rowOff>
    </xdr:to>
    <xdr:sp macro="" textlink="">
      <xdr:nvSpPr>
        <xdr:cNvPr id="26" name="Star: 5 Points 25">
          <a:extLst>
            <a:ext uri="{FF2B5EF4-FFF2-40B4-BE49-F238E27FC236}">
              <a16:creationId xmlns:a16="http://schemas.microsoft.com/office/drawing/2014/main" id="{9F0CA155-4BAE-4EC7-A511-BFB0010274BE}"/>
            </a:ext>
          </a:extLst>
        </xdr:cNvPr>
        <xdr:cNvSpPr/>
      </xdr:nvSpPr>
      <xdr:spPr>
        <a:xfrm>
          <a:off x="6903744" y="354126"/>
          <a:ext cx="470577" cy="332987"/>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165298</xdr:colOff>
      <xdr:row>2</xdr:row>
      <xdr:rowOff>7285</xdr:rowOff>
    </xdr:from>
    <xdr:to>
      <xdr:col>13</xdr:col>
      <xdr:colOff>24962</xdr:colOff>
      <xdr:row>3</xdr:row>
      <xdr:rowOff>156341</xdr:rowOff>
    </xdr:to>
    <xdr:sp macro="" textlink="">
      <xdr:nvSpPr>
        <xdr:cNvPr id="27" name="Star: 5 Points 26">
          <a:extLst>
            <a:ext uri="{FF2B5EF4-FFF2-40B4-BE49-F238E27FC236}">
              <a16:creationId xmlns:a16="http://schemas.microsoft.com/office/drawing/2014/main" id="{F92CC7EB-A2CA-446E-B1BC-961856A8BB87}"/>
            </a:ext>
          </a:extLst>
        </xdr:cNvPr>
        <xdr:cNvSpPr/>
      </xdr:nvSpPr>
      <xdr:spPr>
        <a:xfrm>
          <a:off x="7496264" y="375147"/>
          <a:ext cx="470577" cy="332987"/>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426983</xdr:colOff>
      <xdr:row>0</xdr:row>
      <xdr:rowOff>85397</xdr:rowOff>
    </xdr:from>
    <xdr:ext cx="1353447" cy="436786"/>
    <xdr:sp macro="" textlink="">
      <xdr:nvSpPr>
        <xdr:cNvPr id="28" name="TextBox 27">
          <a:extLst>
            <a:ext uri="{FF2B5EF4-FFF2-40B4-BE49-F238E27FC236}">
              <a16:creationId xmlns:a16="http://schemas.microsoft.com/office/drawing/2014/main" id="{F153249F-6310-02DB-1356-7573D013CE29}"/>
            </a:ext>
          </a:extLst>
        </xdr:cNvPr>
        <xdr:cNvSpPr txBox="1"/>
      </xdr:nvSpPr>
      <xdr:spPr>
        <a:xfrm>
          <a:off x="5925207" y="85397"/>
          <a:ext cx="135344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rPr>
            <a:t>Avg.Job  Satsfaction</a:t>
          </a:r>
        </a:p>
        <a:p>
          <a:endParaRPr lang="en-IN" sz="1100"/>
        </a:p>
      </xdr:txBody>
    </xdr:sp>
    <xdr:clientData/>
  </xdr:oneCellAnchor>
  <xdr:twoCellAnchor>
    <xdr:from>
      <xdr:col>0</xdr:col>
      <xdr:colOff>85398</xdr:colOff>
      <xdr:row>5</xdr:row>
      <xdr:rowOff>26276</xdr:rowOff>
    </xdr:from>
    <xdr:to>
      <xdr:col>2</xdr:col>
      <xdr:colOff>486104</xdr:colOff>
      <xdr:row>8</xdr:row>
      <xdr:rowOff>137948</xdr:rowOff>
    </xdr:to>
    <xdr:sp macro="" textlink="Calcuation!$B$2">
      <xdr:nvSpPr>
        <xdr:cNvPr id="29" name="Rectangle: Rounded Corners 28">
          <a:extLst>
            <a:ext uri="{FF2B5EF4-FFF2-40B4-BE49-F238E27FC236}">
              <a16:creationId xmlns:a16="http://schemas.microsoft.com/office/drawing/2014/main" id="{D090B311-CA51-328A-0243-41F10B1B8A96}"/>
            </a:ext>
          </a:extLst>
        </xdr:cNvPr>
        <xdr:cNvSpPr/>
      </xdr:nvSpPr>
      <xdr:spPr>
        <a:xfrm>
          <a:off x="85398" y="945931"/>
          <a:ext cx="1622534" cy="663465"/>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b"/>
        <a:lstStyle/>
        <a:p>
          <a:pPr algn="ctr"/>
          <a:fld id="{97C26D47-953B-4915-AAC1-5F78B8DF142F}" type="TxLink">
            <a:rPr lang="en-US" sz="2400" b="1" i="0" u="none" strike="noStrike">
              <a:solidFill>
                <a:schemeClr val="bg1"/>
              </a:solidFill>
              <a:latin typeface="Calibri"/>
              <a:ea typeface="Calibri"/>
              <a:cs typeface="Calibri"/>
            </a:rPr>
            <a:pPr algn="ctr"/>
            <a:t>40</a:t>
          </a:fld>
          <a:endParaRPr lang="en-IN" sz="2400" b="1">
            <a:solidFill>
              <a:schemeClr val="bg1"/>
            </a:solidFill>
          </a:endParaRPr>
        </a:p>
      </xdr:txBody>
    </xdr:sp>
    <xdr:clientData/>
  </xdr:twoCellAnchor>
  <xdr:twoCellAnchor>
    <xdr:from>
      <xdr:col>0</xdr:col>
      <xdr:colOff>289035</xdr:colOff>
      <xdr:row>5</xdr:row>
      <xdr:rowOff>39414</xdr:rowOff>
    </xdr:from>
    <xdr:to>
      <xdr:col>2</xdr:col>
      <xdr:colOff>407276</xdr:colOff>
      <xdr:row>6</xdr:row>
      <xdr:rowOff>170794</xdr:rowOff>
    </xdr:to>
    <xdr:sp macro="" textlink="">
      <xdr:nvSpPr>
        <xdr:cNvPr id="36" name="TextBox 35">
          <a:extLst>
            <a:ext uri="{FF2B5EF4-FFF2-40B4-BE49-F238E27FC236}">
              <a16:creationId xmlns:a16="http://schemas.microsoft.com/office/drawing/2014/main" id="{D796876F-85BC-CD74-F1A1-30771654DB8F}"/>
            </a:ext>
          </a:extLst>
        </xdr:cNvPr>
        <xdr:cNvSpPr txBox="1"/>
      </xdr:nvSpPr>
      <xdr:spPr>
        <a:xfrm>
          <a:off x="289035" y="959069"/>
          <a:ext cx="1340069" cy="315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a:t>
          </a:r>
          <a:r>
            <a:rPr lang="en-IN" sz="1100" b="1" baseline="0">
              <a:solidFill>
                <a:schemeClr val="bg1"/>
              </a:solidFill>
            </a:rPr>
            <a:t> EMPLOYEES</a:t>
          </a:r>
          <a:endParaRPr lang="en-IN" sz="1100" b="1">
            <a:solidFill>
              <a:schemeClr val="bg1"/>
            </a:solidFill>
          </a:endParaRPr>
        </a:p>
      </xdr:txBody>
    </xdr:sp>
    <xdr:clientData/>
  </xdr:twoCellAnchor>
  <xdr:twoCellAnchor>
    <xdr:from>
      <xdr:col>3</xdr:col>
      <xdr:colOff>605325</xdr:colOff>
      <xdr:row>5</xdr:row>
      <xdr:rowOff>33272</xdr:rowOff>
    </xdr:from>
    <xdr:to>
      <xdr:col>6</xdr:col>
      <xdr:colOff>331247</xdr:colOff>
      <xdr:row>8</xdr:row>
      <xdr:rowOff>144944</xdr:rowOff>
    </xdr:to>
    <xdr:sp macro="" textlink="Calcuation!$D$2">
      <xdr:nvSpPr>
        <xdr:cNvPr id="37" name="Rectangle: Rounded Corners 36">
          <a:extLst>
            <a:ext uri="{FF2B5EF4-FFF2-40B4-BE49-F238E27FC236}">
              <a16:creationId xmlns:a16="http://schemas.microsoft.com/office/drawing/2014/main" id="{BD1A37C1-BC0A-490F-92B7-637CA5FFD34A}"/>
            </a:ext>
          </a:extLst>
        </xdr:cNvPr>
        <xdr:cNvSpPr/>
      </xdr:nvSpPr>
      <xdr:spPr>
        <a:xfrm>
          <a:off x="2609971" y="912503"/>
          <a:ext cx="1730568" cy="6392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fld id="{0A6BB325-075D-4942-94B8-A34D4D4BA9FA}" type="TxLink">
            <a:rPr lang="en-US" sz="2000" b="1" i="0" u="none" strike="noStrike">
              <a:solidFill>
                <a:schemeClr val="bg1"/>
              </a:solidFill>
              <a:latin typeface="Century Gothic"/>
              <a:ea typeface="Calibri"/>
              <a:cs typeface="Calibri"/>
            </a:rPr>
            <a:pPr algn="ctr"/>
            <a:t>19</a:t>
          </a:fld>
          <a:endParaRPr lang="en-IN" sz="8800" b="1">
            <a:solidFill>
              <a:schemeClr val="bg1"/>
            </a:solidFill>
          </a:endParaRPr>
        </a:p>
      </xdr:txBody>
    </xdr:sp>
    <xdr:clientData/>
  </xdr:twoCellAnchor>
  <xdr:twoCellAnchor>
    <xdr:from>
      <xdr:col>4</xdr:col>
      <xdr:colOff>197373</xdr:colOff>
      <xdr:row>5</xdr:row>
      <xdr:rowOff>7972</xdr:rowOff>
    </xdr:from>
    <xdr:to>
      <xdr:col>6</xdr:col>
      <xdr:colOff>230218</xdr:colOff>
      <xdr:row>6</xdr:row>
      <xdr:rowOff>149553</xdr:rowOff>
    </xdr:to>
    <xdr:sp macro="" textlink="">
      <xdr:nvSpPr>
        <xdr:cNvPr id="40" name="TextBox 39">
          <a:extLst>
            <a:ext uri="{FF2B5EF4-FFF2-40B4-BE49-F238E27FC236}">
              <a16:creationId xmlns:a16="http://schemas.microsoft.com/office/drawing/2014/main" id="{21248C43-7A0E-84CA-C4A5-6239A74A99DD}"/>
            </a:ext>
          </a:extLst>
        </xdr:cNvPr>
        <xdr:cNvSpPr txBox="1"/>
      </xdr:nvSpPr>
      <xdr:spPr>
        <a:xfrm>
          <a:off x="2870235" y="887203"/>
          <a:ext cx="1369275" cy="317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a:t>
          </a:r>
          <a:r>
            <a:rPr lang="en-IN" sz="1100" b="1" baseline="0">
              <a:solidFill>
                <a:schemeClr val="bg1"/>
              </a:solidFill>
            </a:rPr>
            <a:t> ATTRITION</a:t>
          </a:r>
          <a:endParaRPr lang="en-IN" sz="1100" b="1">
            <a:solidFill>
              <a:schemeClr val="bg1"/>
            </a:solidFill>
          </a:endParaRPr>
        </a:p>
      </xdr:txBody>
    </xdr:sp>
    <xdr:clientData/>
  </xdr:twoCellAnchor>
  <xdr:twoCellAnchor>
    <xdr:from>
      <xdr:col>7</xdr:col>
      <xdr:colOff>370419</xdr:colOff>
      <xdr:row>5</xdr:row>
      <xdr:rowOff>88025</xdr:rowOff>
    </xdr:from>
    <xdr:to>
      <xdr:col>10</xdr:col>
      <xdr:colOff>153644</xdr:colOff>
      <xdr:row>9</xdr:row>
      <xdr:rowOff>15766</xdr:rowOff>
    </xdr:to>
    <xdr:sp macro="" textlink="Calcuation!$D$2">
      <xdr:nvSpPr>
        <xdr:cNvPr id="41" name="Rectangle: Rounded Corners 40">
          <a:extLst>
            <a:ext uri="{FF2B5EF4-FFF2-40B4-BE49-F238E27FC236}">
              <a16:creationId xmlns:a16="http://schemas.microsoft.com/office/drawing/2014/main" id="{AFC00C1B-305C-4616-85A4-1967FCBE9E52}"/>
            </a:ext>
          </a:extLst>
        </xdr:cNvPr>
        <xdr:cNvSpPr/>
      </xdr:nvSpPr>
      <xdr:spPr>
        <a:xfrm>
          <a:off x="4623203" y="1014782"/>
          <a:ext cx="1605846" cy="669146"/>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fld id="{ECC290AA-BDD0-4449-B43D-28A95C119DB6}" type="TxLink">
            <a:rPr lang="en-US" sz="2400" b="1" i="0" u="none" strike="noStrike">
              <a:solidFill>
                <a:schemeClr val="bg1"/>
              </a:solidFill>
              <a:latin typeface="Century Gothic"/>
            </a:rPr>
            <a:pPr algn="ctr"/>
            <a:t>19</a:t>
          </a:fld>
          <a:endParaRPr lang="en-US" sz="4400" b="1">
            <a:solidFill>
              <a:schemeClr val="bg1"/>
            </a:solidFill>
          </a:endParaRPr>
        </a:p>
      </xdr:txBody>
    </xdr:sp>
    <xdr:clientData/>
  </xdr:twoCellAnchor>
  <xdr:oneCellAnchor>
    <xdr:from>
      <xdr:col>7</xdr:col>
      <xdr:colOff>347001</xdr:colOff>
      <xdr:row>5</xdr:row>
      <xdr:rowOff>47585</xdr:rowOff>
    </xdr:from>
    <xdr:ext cx="1681486" cy="264560"/>
    <xdr:sp macro="" textlink="">
      <xdr:nvSpPr>
        <xdr:cNvPr id="43" name="TextBox 42">
          <a:extLst>
            <a:ext uri="{FF2B5EF4-FFF2-40B4-BE49-F238E27FC236}">
              <a16:creationId xmlns:a16="http://schemas.microsoft.com/office/drawing/2014/main" id="{5D1F28B2-0A84-D70E-092D-6E81F1E2E1C7}"/>
            </a:ext>
          </a:extLst>
        </xdr:cNvPr>
        <xdr:cNvSpPr txBox="1"/>
      </xdr:nvSpPr>
      <xdr:spPr>
        <a:xfrm>
          <a:off x="5053472" y="944056"/>
          <a:ext cx="168148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rPr>
            <a:t>TOTAL</a:t>
          </a:r>
          <a:r>
            <a:rPr lang="en-IN" sz="1100" b="1" baseline="0">
              <a:solidFill>
                <a:schemeClr val="bg1"/>
              </a:solidFill>
            </a:rPr>
            <a:t> ACTIVE EMPLOYEE</a:t>
          </a:r>
          <a:endParaRPr lang="en-IN" sz="1100" b="1">
            <a:solidFill>
              <a:schemeClr val="bg1"/>
            </a:solidFill>
          </a:endParaRPr>
        </a:p>
      </xdr:txBody>
    </xdr:sp>
    <xdr:clientData/>
  </xdr:oneCellAnchor>
  <xdr:twoCellAnchor>
    <xdr:from>
      <xdr:col>11</xdr:col>
      <xdr:colOff>26950</xdr:colOff>
      <xdr:row>5</xdr:row>
      <xdr:rowOff>99636</xdr:rowOff>
    </xdr:from>
    <xdr:to>
      <xdr:col>13</xdr:col>
      <xdr:colOff>417715</xdr:colOff>
      <xdr:row>9</xdr:row>
      <xdr:rowOff>27377</xdr:rowOff>
    </xdr:to>
    <xdr:sp macro="" textlink="Calcuation!$F$2">
      <xdr:nvSpPr>
        <xdr:cNvPr id="44" name="Rectangle: Rounded Corners 43">
          <a:extLst>
            <a:ext uri="{FF2B5EF4-FFF2-40B4-BE49-F238E27FC236}">
              <a16:creationId xmlns:a16="http://schemas.microsoft.com/office/drawing/2014/main" id="{AC3BFC60-DEF3-4109-A91D-C8EA303A48F9}"/>
            </a:ext>
          </a:extLst>
        </xdr:cNvPr>
        <xdr:cNvSpPr/>
      </xdr:nvSpPr>
      <xdr:spPr>
        <a:xfrm>
          <a:off x="6709896" y="1026393"/>
          <a:ext cx="1605846" cy="669146"/>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fld id="{6A457A1C-6909-45BB-B96E-38A8274920D0}" type="TxLink">
            <a:rPr lang="en-US" sz="2000" b="1" i="0" u="none" strike="noStrike">
              <a:solidFill>
                <a:schemeClr val="bg1"/>
              </a:solidFill>
              <a:latin typeface="Century Gothic"/>
              <a:ea typeface="Calibri"/>
              <a:cs typeface="Calibri"/>
            </a:rPr>
            <a:pPr algn="ctr"/>
            <a:t>48%</a:t>
          </a:fld>
          <a:endParaRPr lang="en-IN" sz="19900" b="1">
            <a:solidFill>
              <a:schemeClr val="bg1"/>
            </a:solidFill>
          </a:endParaRPr>
        </a:p>
      </xdr:txBody>
    </xdr:sp>
    <xdr:clientData/>
  </xdr:twoCellAnchor>
  <xdr:oneCellAnchor>
    <xdr:from>
      <xdr:col>11</xdr:col>
      <xdr:colOff>245715</xdr:colOff>
      <xdr:row>5</xdr:row>
      <xdr:rowOff>56281</xdr:rowOff>
    </xdr:from>
    <xdr:ext cx="1158074" cy="264560"/>
    <xdr:sp macro="" textlink="">
      <xdr:nvSpPr>
        <xdr:cNvPr id="45" name="TextBox 44">
          <a:extLst>
            <a:ext uri="{FF2B5EF4-FFF2-40B4-BE49-F238E27FC236}">
              <a16:creationId xmlns:a16="http://schemas.microsoft.com/office/drawing/2014/main" id="{AB1C4A8F-8D28-73DA-52BB-A044B21C5E93}"/>
            </a:ext>
          </a:extLst>
        </xdr:cNvPr>
        <xdr:cNvSpPr txBox="1"/>
      </xdr:nvSpPr>
      <xdr:spPr>
        <a:xfrm>
          <a:off x="6928661" y="983038"/>
          <a:ext cx="11580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rPr>
            <a:t>ATTRITION RATE</a:t>
          </a:r>
        </a:p>
      </xdr:txBody>
    </xdr:sp>
    <xdr:clientData/>
  </xdr:oneCellAnchor>
  <xdr:twoCellAnchor>
    <xdr:from>
      <xdr:col>14</xdr:col>
      <xdr:colOff>297625</xdr:colOff>
      <xdr:row>5</xdr:row>
      <xdr:rowOff>57133</xdr:rowOff>
    </xdr:from>
    <xdr:to>
      <xdr:col>17</xdr:col>
      <xdr:colOff>123567</xdr:colOff>
      <xdr:row>8</xdr:row>
      <xdr:rowOff>170225</xdr:rowOff>
    </xdr:to>
    <xdr:sp macro="" textlink="Calcuation!$I$2">
      <xdr:nvSpPr>
        <xdr:cNvPr id="47" name="Rectangle: Rounded Corners 46">
          <a:extLst>
            <a:ext uri="{FF2B5EF4-FFF2-40B4-BE49-F238E27FC236}">
              <a16:creationId xmlns:a16="http://schemas.microsoft.com/office/drawing/2014/main" id="{7A5C02AF-39BD-43CE-BC59-F39907291166}"/>
            </a:ext>
          </a:extLst>
        </xdr:cNvPr>
        <xdr:cNvSpPr/>
      </xdr:nvSpPr>
      <xdr:spPr>
        <a:xfrm>
          <a:off x="8803193" y="983890"/>
          <a:ext cx="1648563" cy="669146"/>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8342663D-92FB-45CC-A864-7029F1285A5B}" type="TxLink">
            <a:rPr lang="en-US" sz="2000" b="1" i="0" u="none" strike="noStrike">
              <a:solidFill>
                <a:schemeClr val="bg1"/>
              </a:solidFill>
              <a:latin typeface="Calibri"/>
              <a:ea typeface="Calibri"/>
              <a:cs typeface="Calibri"/>
            </a:rPr>
            <a:pPr algn="ctr"/>
            <a:t>35.4</a:t>
          </a:fld>
          <a:endParaRPr lang="en-IN" sz="8800" b="1">
            <a:solidFill>
              <a:schemeClr val="bg1"/>
            </a:solidFill>
          </a:endParaRPr>
        </a:p>
      </xdr:txBody>
    </xdr:sp>
    <xdr:clientData/>
  </xdr:twoCellAnchor>
  <xdr:oneCellAnchor>
    <xdr:from>
      <xdr:col>14</xdr:col>
      <xdr:colOff>552501</xdr:colOff>
      <xdr:row>5</xdr:row>
      <xdr:rowOff>57345</xdr:rowOff>
    </xdr:from>
    <xdr:ext cx="1038682" cy="264560"/>
    <xdr:sp macro="" textlink="">
      <xdr:nvSpPr>
        <xdr:cNvPr id="48" name="TextBox 47">
          <a:extLst>
            <a:ext uri="{FF2B5EF4-FFF2-40B4-BE49-F238E27FC236}">
              <a16:creationId xmlns:a16="http://schemas.microsoft.com/office/drawing/2014/main" id="{BE926EE1-EAD6-E941-4548-E231B24D46FC}"/>
            </a:ext>
          </a:extLst>
        </xdr:cNvPr>
        <xdr:cNvSpPr txBox="1"/>
      </xdr:nvSpPr>
      <xdr:spPr>
        <a:xfrm>
          <a:off x="9058069" y="984102"/>
          <a:ext cx="10386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rPr>
            <a:t>AVARAGE AGE</a:t>
          </a:r>
        </a:p>
      </xdr:txBody>
    </xdr:sp>
    <xdr:clientData/>
  </xdr:oneCellAnchor>
  <xdr:twoCellAnchor>
    <xdr:from>
      <xdr:col>0</xdr:col>
      <xdr:colOff>54483</xdr:colOff>
      <xdr:row>23</xdr:row>
      <xdr:rowOff>110722</xdr:rowOff>
    </xdr:from>
    <xdr:to>
      <xdr:col>5</xdr:col>
      <xdr:colOff>185351</xdr:colOff>
      <xdr:row>36</xdr:row>
      <xdr:rowOff>175054</xdr:rowOff>
    </xdr:to>
    <xdr:graphicFrame macro="">
      <xdr:nvGraphicFramePr>
        <xdr:cNvPr id="49" name="Chart 48">
          <a:extLst>
            <a:ext uri="{FF2B5EF4-FFF2-40B4-BE49-F238E27FC236}">
              <a16:creationId xmlns:a16="http://schemas.microsoft.com/office/drawing/2014/main" id="{9F1D40FB-BDD7-40C3-B45D-AF6850357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336084</xdr:colOff>
      <xdr:row>23</xdr:row>
      <xdr:rowOff>137949</xdr:rowOff>
    </xdr:from>
    <xdr:to>
      <xdr:col>11</xdr:col>
      <xdr:colOff>267731</xdr:colOff>
      <xdr:row>37</xdr:row>
      <xdr:rowOff>20595</xdr:rowOff>
    </xdr:to>
    <xdr:graphicFrame macro="">
      <xdr:nvGraphicFramePr>
        <xdr:cNvPr id="50" name="Chart 49">
          <a:extLst>
            <a:ext uri="{FF2B5EF4-FFF2-40B4-BE49-F238E27FC236}">
              <a16:creationId xmlns:a16="http://schemas.microsoft.com/office/drawing/2014/main" id="{20EE6DCE-4DCC-4EB5-98D4-4E5E1409A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370704</xdr:colOff>
      <xdr:row>9</xdr:row>
      <xdr:rowOff>102974</xdr:rowOff>
    </xdr:from>
    <xdr:to>
      <xdr:col>17</xdr:col>
      <xdr:colOff>72081</xdr:colOff>
      <xdr:row>23</xdr:row>
      <xdr:rowOff>10297</xdr:rowOff>
    </xdr:to>
    <xdr:graphicFrame macro="">
      <xdr:nvGraphicFramePr>
        <xdr:cNvPr id="51" name="Chart 50">
          <a:extLst>
            <a:ext uri="{FF2B5EF4-FFF2-40B4-BE49-F238E27FC236}">
              <a16:creationId xmlns:a16="http://schemas.microsoft.com/office/drawing/2014/main" id="{7A59440F-1BD9-44E6-8FA4-811801B35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xdr:row>
      <xdr:rowOff>80461</xdr:rowOff>
    </xdr:from>
    <xdr:to>
      <xdr:col>5</xdr:col>
      <xdr:colOff>156186</xdr:colOff>
      <xdr:row>23</xdr:row>
      <xdr:rowOff>10297</xdr:rowOff>
    </xdr:to>
    <xdr:graphicFrame macro="">
      <xdr:nvGraphicFramePr>
        <xdr:cNvPr id="53" name="Chart 52">
          <a:extLst>
            <a:ext uri="{FF2B5EF4-FFF2-40B4-BE49-F238E27FC236}">
              <a16:creationId xmlns:a16="http://schemas.microsoft.com/office/drawing/2014/main" id="{9B47D33E-C394-4FD1-8B2B-7018C7235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329513</xdr:colOff>
      <xdr:row>9</xdr:row>
      <xdr:rowOff>103293</xdr:rowOff>
    </xdr:from>
    <xdr:to>
      <xdr:col>11</xdr:col>
      <xdr:colOff>236838</xdr:colOff>
      <xdr:row>22</xdr:row>
      <xdr:rowOff>164756</xdr:rowOff>
    </xdr:to>
    <xdr:graphicFrame macro="">
      <xdr:nvGraphicFramePr>
        <xdr:cNvPr id="54" name="Chart 53">
          <a:extLst>
            <a:ext uri="{FF2B5EF4-FFF2-40B4-BE49-F238E27FC236}">
              <a16:creationId xmlns:a16="http://schemas.microsoft.com/office/drawing/2014/main" id="{0374124F-95F4-4710-A97A-A1612A30E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391297</xdr:colOff>
      <xdr:row>23</xdr:row>
      <xdr:rowOff>123567</xdr:rowOff>
    </xdr:from>
    <xdr:to>
      <xdr:col>17</xdr:col>
      <xdr:colOff>20595</xdr:colOff>
      <xdr:row>37</xdr:row>
      <xdr:rowOff>30480</xdr:rowOff>
    </xdr:to>
    <xdr:graphicFrame macro="">
      <xdr:nvGraphicFramePr>
        <xdr:cNvPr id="55" name="Chart 54">
          <a:extLst>
            <a:ext uri="{FF2B5EF4-FFF2-40B4-BE49-F238E27FC236}">
              <a16:creationId xmlns:a16="http://schemas.microsoft.com/office/drawing/2014/main" id="{8F6EAB27-6425-45CE-8D32-401E48417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198120</xdr:colOff>
      <xdr:row>0</xdr:row>
      <xdr:rowOff>121920</xdr:rowOff>
    </xdr:from>
    <xdr:to>
      <xdr:col>20</xdr:col>
      <xdr:colOff>4392</xdr:colOff>
      <xdr:row>23</xdr:row>
      <xdr:rowOff>28575</xdr:rowOff>
    </xdr:to>
    <mc:AlternateContent xmlns:mc="http://schemas.openxmlformats.org/markup-compatibility/2006" xmlns:a14="http://schemas.microsoft.com/office/drawing/2010/main">
      <mc:Choice Requires="a14">
        <xdr:graphicFrame macro="">
          <xdr:nvGraphicFramePr>
            <xdr:cNvPr id="56" name="Education 1">
              <a:extLst>
                <a:ext uri="{FF2B5EF4-FFF2-40B4-BE49-F238E27FC236}">
                  <a16:creationId xmlns:a16="http://schemas.microsoft.com/office/drawing/2014/main" id="{37F12757-3A61-482D-9A60-18BD1A554987}"/>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1532870" y="121920"/>
              <a:ext cx="1806522" cy="4044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180764</xdr:colOff>
      <xdr:row>23</xdr:row>
      <xdr:rowOff>146473</xdr:rowOff>
    </xdr:from>
    <xdr:to>
      <xdr:col>19</xdr:col>
      <xdr:colOff>658629</xdr:colOff>
      <xdr:row>37</xdr:row>
      <xdr:rowOff>53128</xdr:rowOff>
    </xdr:to>
    <mc:AlternateContent xmlns:mc="http://schemas.openxmlformats.org/markup-compatibility/2006" xmlns:a14="http://schemas.microsoft.com/office/drawing/2010/main">
      <mc:Choice Requires="a14">
        <xdr:graphicFrame macro="">
          <xdr:nvGraphicFramePr>
            <xdr:cNvPr id="57" name="Department 1">
              <a:extLst>
                <a:ext uri="{FF2B5EF4-FFF2-40B4-BE49-F238E27FC236}">
                  <a16:creationId xmlns:a16="http://schemas.microsoft.com/office/drawing/2014/main" id="{C88C153A-48B8-4D6A-B588-D8DD0BE2FAB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515514" y="4284556"/>
              <a:ext cx="1811365" cy="2425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refreshedDate="46137.959394675927" createdVersion="8" refreshedVersion="8" minRefreshableVersion="3" recordCount="40" xr:uid="{4C620E1B-CB06-4D0B-8A55-241B0F0ACEAE}">
  <cacheSource type="worksheet">
    <worksheetSource name="HR_Data5"/>
  </cacheSource>
  <cacheFields count="16">
    <cacheField name="EmployeeID" numFmtId="1">
      <sharedItems containsSemiMixedTypes="0" containsString="0" containsNumber="1" containsInteger="1" minValue="1" maxValue="40"/>
    </cacheField>
    <cacheField name="Name" numFmtId="0">
      <sharedItems/>
    </cacheField>
    <cacheField name="Gender" numFmtId="0">
      <sharedItems count="2">
        <s v="Male"/>
        <s v="Female"/>
      </sharedItems>
    </cacheField>
    <cacheField name="Age" numFmtId="0">
      <sharedItems containsSemiMixedTypes="0" containsString="0" containsNumber="1" containsInteger="1" minValue="26" maxValue="50" count="22">
        <n v="34"/>
        <n v="29"/>
        <n v="41"/>
        <n v="36"/>
        <n v="45"/>
        <n v="31"/>
        <n v="28"/>
        <n v="38"/>
        <n v="50"/>
        <n v="27"/>
        <n v="33"/>
        <n v="44"/>
        <n v="30"/>
        <n v="26"/>
        <n v="39"/>
        <n v="35"/>
        <n v="32"/>
        <n v="46"/>
        <n v="37"/>
        <n v="42"/>
        <n v="40"/>
        <n v="48"/>
      </sharedItems>
    </cacheField>
    <cacheField name="Department" numFmtId="0">
      <sharedItems count="3">
        <s v="Sales"/>
        <s v="R&amp;D"/>
        <s v="HR"/>
      </sharedItems>
    </cacheField>
    <cacheField name="JobRole" numFmtId="0">
      <sharedItems count="6">
        <s v="Sales Executive"/>
        <s v="Research Scientist"/>
        <s v="HR Manager"/>
        <s v="Sales Representative"/>
        <s v="Lab Technician"/>
        <s v="HR Executive"/>
      </sharedItems>
    </cacheField>
    <cacheField name="Education" numFmtId="0">
      <sharedItems count="4">
        <s v="Bachelor"/>
        <s v="Master"/>
        <s v="Associate"/>
        <s v="PhD"/>
      </sharedItems>
    </cacheField>
    <cacheField name="EducationField" numFmtId="0">
      <sharedItems count="4">
        <s v="Marketing"/>
        <s v="Life Sciences"/>
        <s v="Human Resources"/>
        <s v="Technical"/>
      </sharedItems>
    </cacheField>
    <cacheField name="MaritalStatus" numFmtId="0">
      <sharedItems count="3">
        <s v="Married"/>
        <s v="Single"/>
        <s v="Divorced"/>
      </sharedItems>
    </cacheField>
    <cacheField name="Salary" numFmtId="164">
      <sharedItems containsSemiMixedTypes="0" containsString="0" containsNumber="1" containsInteger="1" minValue="46000" maxValue="92000"/>
    </cacheField>
    <cacheField name="JobSatisfaction" numFmtId="1">
      <sharedItems containsSemiMixedTypes="0" containsString="0" containsNumber="1" containsInteger="1" minValue="2" maxValue="4"/>
    </cacheField>
    <cacheField name="Attrition" numFmtId="0">
      <sharedItems/>
    </cacheField>
    <cacheField name="AttritionFlag" numFmtId="0">
      <sharedItems containsSemiMixedTypes="0" containsString="0" containsNumber="1" containsInteger="1" minValue="0" maxValue="1"/>
    </cacheField>
    <cacheField name="AgeGroup" numFmtId="0">
      <sharedItems count="2">
        <s v="25-34"/>
        <s v="45-54"/>
      </sharedItems>
    </cacheField>
    <cacheField name="SalaryBan" numFmtId="0">
      <sharedItems/>
    </cacheField>
    <cacheField name="SatifactionLevel" numFmtId="0">
      <sharedItems/>
    </cacheField>
  </cacheFields>
  <extLst>
    <ext xmlns:x14="http://schemas.microsoft.com/office/spreadsheetml/2009/9/main" uri="{725AE2AE-9491-48be-B2B4-4EB974FC3084}">
      <x14:pivotCacheDefinition pivotCacheId="966472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
    <s v="Michael Johnson"/>
    <x v="0"/>
    <x v="0"/>
    <x v="0"/>
    <x v="0"/>
    <x v="0"/>
    <x v="0"/>
    <x v="0"/>
    <n v="60000"/>
    <n v="3"/>
    <s v="Yes"/>
    <n v="1"/>
    <x v="0"/>
    <s v="medium"/>
    <s v="Medium"/>
  </r>
  <r>
    <n v="2"/>
    <s v="Emily Carter"/>
    <x v="1"/>
    <x v="1"/>
    <x v="1"/>
    <x v="1"/>
    <x v="1"/>
    <x v="1"/>
    <x v="1"/>
    <n v="72000"/>
    <n v="4"/>
    <s v="No"/>
    <n v="0"/>
    <x v="0"/>
    <s v="High"/>
    <s v="High"/>
  </r>
  <r>
    <n v="3"/>
    <s v="David Miller"/>
    <x v="0"/>
    <x v="2"/>
    <x v="2"/>
    <x v="2"/>
    <x v="1"/>
    <x v="2"/>
    <x v="0"/>
    <n v="68000"/>
    <n v="2"/>
    <s v="Yes"/>
    <n v="1"/>
    <x v="1"/>
    <s v="medium"/>
    <s v="Low"/>
  </r>
  <r>
    <n v="4"/>
    <s v="Sarah Thompson"/>
    <x v="1"/>
    <x v="3"/>
    <x v="0"/>
    <x v="3"/>
    <x v="0"/>
    <x v="0"/>
    <x v="2"/>
    <n v="52000"/>
    <n v="3"/>
    <s v="No"/>
    <n v="0"/>
    <x v="1"/>
    <s v="medium"/>
    <s v="Medium"/>
  </r>
  <r>
    <n v="5"/>
    <s v="James Anderson"/>
    <x v="0"/>
    <x v="4"/>
    <x v="1"/>
    <x v="4"/>
    <x v="2"/>
    <x v="3"/>
    <x v="0"/>
    <n v="48000"/>
    <n v="2"/>
    <s v="Yes"/>
    <n v="1"/>
    <x v="1"/>
    <s v="Low"/>
    <s v="Low"/>
  </r>
  <r>
    <n v="6"/>
    <s v="Olivia Martinez"/>
    <x v="1"/>
    <x v="5"/>
    <x v="2"/>
    <x v="5"/>
    <x v="0"/>
    <x v="2"/>
    <x v="1"/>
    <n v="55000"/>
    <n v="4"/>
    <s v="No"/>
    <n v="0"/>
    <x v="0"/>
    <s v="medium"/>
    <s v="High"/>
  </r>
  <r>
    <n v="7"/>
    <s v="Daniel White"/>
    <x v="0"/>
    <x v="6"/>
    <x v="0"/>
    <x v="0"/>
    <x v="0"/>
    <x v="0"/>
    <x v="1"/>
    <n v="58000"/>
    <n v="3"/>
    <s v="Yes"/>
    <n v="1"/>
    <x v="0"/>
    <s v="medium"/>
    <s v="Medium"/>
  </r>
  <r>
    <n v="8"/>
    <s v="Sophia Harris"/>
    <x v="1"/>
    <x v="7"/>
    <x v="1"/>
    <x v="1"/>
    <x v="3"/>
    <x v="1"/>
    <x v="0"/>
    <n v="90000"/>
    <n v="4"/>
    <s v="No"/>
    <n v="0"/>
    <x v="1"/>
    <s v="High"/>
    <s v="High"/>
  </r>
  <r>
    <n v="9"/>
    <s v="Matthew Clark"/>
    <x v="0"/>
    <x v="8"/>
    <x v="2"/>
    <x v="2"/>
    <x v="1"/>
    <x v="2"/>
    <x v="0"/>
    <n v="75000"/>
    <n v="2"/>
    <s v="Yes"/>
    <n v="1"/>
    <x v="1"/>
    <s v="High"/>
    <s v="Low"/>
  </r>
  <r>
    <n v="10"/>
    <s v="Ava Lewis"/>
    <x v="1"/>
    <x v="9"/>
    <x v="0"/>
    <x v="3"/>
    <x v="0"/>
    <x v="0"/>
    <x v="1"/>
    <n v="50000"/>
    <n v="3"/>
    <s v="No"/>
    <n v="0"/>
    <x v="0"/>
    <s v="medium"/>
    <s v="Medium"/>
  </r>
  <r>
    <n v="11"/>
    <s v="Wei Zhang"/>
    <x v="0"/>
    <x v="10"/>
    <x v="1"/>
    <x v="1"/>
    <x v="1"/>
    <x v="1"/>
    <x v="0"/>
    <n v="71000"/>
    <n v="3"/>
    <s v="Yes"/>
    <n v="0"/>
    <x v="0"/>
    <s v="High"/>
    <s v="Medium"/>
  </r>
  <r>
    <n v="12"/>
    <s v="Hiroshi Tanaka"/>
    <x v="0"/>
    <x v="11"/>
    <x v="1"/>
    <x v="4"/>
    <x v="2"/>
    <x v="3"/>
    <x v="0"/>
    <n v="47000"/>
    <n v="2"/>
    <s v="No"/>
    <n v="1"/>
    <x v="1"/>
    <s v="Low"/>
    <s v="Low"/>
  </r>
  <r>
    <n v="13"/>
    <s v="Arjun Mehta"/>
    <x v="0"/>
    <x v="12"/>
    <x v="0"/>
    <x v="0"/>
    <x v="0"/>
    <x v="0"/>
    <x v="1"/>
    <n v="62000"/>
    <n v="4"/>
    <s v="No"/>
    <n v="1"/>
    <x v="0"/>
    <s v="medium"/>
    <s v="High"/>
  </r>
  <r>
    <n v="14"/>
    <s v="Li Na"/>
    <x v="1"/>
    <x v="13"/>
    <x v="2"/>
    <x v="5"/>
    <x v="0"/>
    <x v="2"/>
    <x v="1"/>
    <n v="54000"/>
    <n v="3"/>
    <s v="Yes"/>
    <n v="0"/>
    <x v="0"/>
    <s v="medium"/>
    <s v="Medium"/>
  </r>
  <r>
    <n v="15"/>
    <s v="Siti Rahman"/>
    <x v="1"/>
    <x v="14"/>
    <x v="0"/>
    <x v="0"/>
    <x v="1"/>
    <x v="0"/>
    <x v="0"/>
    <n v="65000"/>
    <n v="2"/>
    <s v="Yes"/>
    <n v="1"/>
    <x v="1"/>
    <s v="medium"/>
    <s v="Low"/>
  </r>
  <r>
    <n v="16"/>
    <s v="Nguyen Minh"/>
    <x v="0"/>
    <x v="15"/>
    <x v="1"/>
    <x v="1"/>
    <x v="1"/>
    <x v="1"/>
    <x v="0"/>
    <n v="72000"/>
    <n v="4"/>
    <s v="No"/>
    <n v="0"/>
    <x v="1"/>
    <s v="High"/>
    <s v="High"/>
  </r>
  <r>
    <n v="17"/>
    <s v="Park Ji-hoon"/>
    <x v="0"/>
    <x v="16"/>
    <x v="0"/>
    <x v="3"/>
    <x v="0"/>
    <x v="0"/>
    <x v="1"/>
    <n v="51000"/>
    <n v="3"/>
    <s v="Yes"/>
    <n v="0"/>
    <x v="0"/>
    <s v="medium"/>
    <s v="Medium"/>
  </r>
  <r>
    <n v="18"/>
    <s v="Chen Wei"/>
    <x v="0"/>
    <x v="1"/>
    <x v="1"/>
    <x v="4"/>
    <x v="2"/>
    <x v="3"/>
    <x v="1"/>
    <n v="46000"/>
    <n v="2"/>
    <s v="No"/>
    <n v="1"/>
    <x v="0"/>
    <s v="Low"/>
    <s v="Low"/>
  </r>
  <r>
    <n v="19"/>
    <s v="Ananya Sharma"/>
    <x v="1"/>
    <x v="6"/>
    <x v="2"/>
    <x v="5"/>
    <x v="0"/>
    <x v="2"/>
    <x v="1"/>
    <n v="56000"/>
    <n v="4"/>
    <s v="No"/>
    <n v="1"/>
    <x v="0"/>
    <s v="medium"/>
    <s v="High"/>
  </r>
  <r>
    <n v="20"/>
    <s v="Takeshi Sato"/>
    <x v="0"/>
    <x v="17"/>
    <x v="1"/>
    <x v="1"/>
    <x v="3"/>
    <x v="1"/>
    <x v="0"/>
    <n v="88000"/>
    <n v="3"/>
    <s v="Yes"/>
    <n v="0"/>
    <x v="1"/>
    <s v="High"/>
    <s v="Medium"/>
  </r>
  <r>
    <n v="21"/>
    <s v="Ahmed Khan"/>
    <x v="0"/>
    <x v="18"/>
    <x v="0"/>
    <x v="0"/>
    <x v="0"/>
    <x v="0"/>
    <x v="0"/>
    <n v="64000"/>
    <n v="2"/>
    <s v="Yes"/>
    <n v="1"/>
    <x v="1"/>
    <s v="medium"/>
    <s v="Low"/>
  </r>
  <r>
    <n v="22"/>
    <s v="Fatima Noor"/>
    <x v="1"/>
    <x v="0"/>
    <x v="2"/>
    <x v="5"/>
    <x v="0"/>
    <x v="2"/>
    <x v="0"/>
    <n v="57000"/>
    <n v="3"/>
    <s v="No"/>
    <n v="0"/>
    <x v="0"/>
    <s v="medium"/>
    <s v="Medium"/>
  </r>
  <r>
    <n v="23"/>
    <s v="Omar Hassan"/>
    <x v="0"/>
    <x v="19"/>
    <x v="1"/>
    <x v="4"/>
    <x v="2"/>
    <x v="3"/>
    <x v="0"/>
    <n v="49000"/>
    <n v="2"/>
    <s v="Yes"/>
    <n v="1"/>
    <x v="1"/>
    <s v="Low"/>
    <s v="Low"/>
  </r>
  <r>
    <n v="24"/>
    <s v="Ayesha Siddiqui"/>
    <x v="1"/>
    <x v="5"/>
    <x v="0"/>
    <x v="3"/>
    <x v="0"/>
    <x v="0"/>
    <x v="1"/>
    <n v="53000"/>
    <n v="4"/>
    <s v="No"/>
    <n v="0"/>
    <x v="0"/>
    <s v="medium"/>
    <s v="High"/>
  </r>
  <r>
    <n v="25"/>
    <s v="Bilal Ahmed"/>
    <x v="0"/>
    <x v="3"/>
    <x v="0"/>
    <x v="0"/>
    <x v="1"/>
    <x v="0"/>
    <x v="0"/>
    <n v="66000"/>
    <n v="3"/>
    <s v="Yes"/>
    <n v="1"/>
    <x v="1"/>
    <s v="medium"/>
    <s v="Medium"/>
  </r>
  <r>
    <n v="26"/>
    <s v="Zainab Ali"/>
    <x v="1"/>
    <x v="9"/>
    <x v="2"/>
    <x v="5"/>
    <x v="0"/>
    <x v="2"/>
    <x v="1"/>
    <n v="55000"/>
    <n v="4"/>
    <s v="No"/>
    <n v="0"/>
    <x v="0"/>
    <s v="medium"/>
    <s v="High"/>
  </r>
  <r>
    <n v="27"/>
    <s v="Yusuf Rahman"/>
    <x v="0"/>
    <x v="20"/>
    <x v="1"/>
    <x v="1"/>
    <x v="1"/>
    <x v="1"/>
    <x v="0"/>
    <n v="73000"/>
    <n v="2"/>
    <s v="Yes"/>
    <n v="1"/>
    <x v="1"/>
    <s v="High"/>
    <s v="Low"/>
  </r>
  <r>
    <n v="28"/>
    <s v="Mariam Sheikh"/>
    <x v="1"/>
    <x v="10"/>
    <x v="0"/>
    <x v="0"/>
    <x v="0"/>
    <x v="0"/>
    <x v="0"/>
    <n v="61000"/>
    <n v="3"/>
    <s v="No"/>
    <n v="0"/>
    <x v="0"/>
    <s v="medium"/>
    <s v="Medium"/>
  </r>
  <r>
    <n v="29"/>
    <s v="Imran Qureshi"/>
    <x v="0"/>
    <x v="4"/>
    <x v="1"/>
    <x v="4"/>
    <x v="2"/>
    <x v="3"/>
    <x v="0"/>
    <n v="47000"/>
    <n v="2"/>
    <s v="Yes"/>
    <n v="1"/>
    <x v="1"/>
    <s v="Low"/>
    <s v="Low"/>
  </r>
  <r>
    <n v="30"/>
    <s v="Noor Ul Haq"/>
    <x v="0"/>
    <x v="7"/>
    <x v="2"/>
    <x v="2"/>
    <x v="1"/>
    <x v="2"/>
    <x v="0"/>
    <n v="70000"/>
    <n v="3"/>
    <s v="No"/>
    <n v="0"/>
    <x v="1"/>
    <s v="medium"/>
    <s v="Medium"/>
  </r>
  <r>
    <n v="31"/>
    <s v="Carlos Rivera"/>
    <x v="0"/>
    <x v="1"/>
    <x v="0"/>
    <x v="0"/>
    <x v="0"/>
    <x v="0"/>
    <x v="1"/>
    <n v="59000"/>
    <n v="3"/>
    <s v="Yes"/>
    <n v="1"/>
    <x v="0"/>
    <s v="medium"/>
    <s v="Medium"/>
  </r>
  <r>
    <n v="32"/>
    <s v="Maria Gonzalez"/>
    <x v="1"/>
    <x v="15"/>
    <x v="1"/>
    <x v="1"/>
    <x v="1"/>
    <x v="1"/>
    <x v="0"/>
    <n v="75000"/>
    <n v="4"/>
    <s v="No"/>
    <n v="0"/>
    <x v="1"/>
    <s v="High"/>
    <s v="High"/>
  </r>
  <r>
    <n v="33"/>
    <s v="Ahmed Al-Farsi"/>
    <x v="0"/>
    <x v="2"/>
    <x v="0"/>
    <x v="0"/>
    <x v="1"/>
    <x v="0"/>
    <x v="0"/>
    <n v="67000"/>
    <n v="2"/>
    <s v="Yes"/>
    <n v="0"/>
    <x v="1"/>
    <s v="medium"/>
    <s v="Low"/>
  </r>
  <r>
    <n v="34"/>
    <s v="Lina Haddad"/>
    <x v="1"/>
    <x v="12"/>
    <x v="2"/>
    <x v="5"/>
    <x v="0"/>
    <x v="2"/>
    <x v="1"/>
    <n v="56000"/>
    <n v="3"/>
    <s v="No"/>
    <n v="1"/>
    <x v="0"/>
    <s v="medium"/>
    <s v="Medium"/>
  </r>
  <r>
    <n v="35"/>
    <s v="John Peterson"/>
    <x v="0"/>
    <x v="21"/>
    <x v="1"/>
    <x v="1"/>
    <x v="3"/>
    <x v="1"/>
    <x v="0"/>
    <n v="92000"/>
    <n v="4"/>
    <s v="No"/>
    <n v="1"/>
    <x v="1"/>
    <s v="High"/>
    <s v="High"/>
  </r>
  <r>
    <n v="36"/>
    <s v="Priya Nair"/>
    <x v="1"/>
    <x v="13"/>
    <x v="0"/>
    <x v="3"/>
    <x v="0"/>
    <x v="0"/>
    <x v="1"/>
    <n v="52000"/>
    <n v="3"/>
    <s v="Yes"/>
    <n v="0"/>
    <x v="0"/>
    <s v="medium"/>
    <s v="Medium"/>
  </r>
  <r>
    <n v="37"/>
    <s v="Hassan Malik"/>
    <x v="0"/>
    <x v="14"/>
    <x v="1"/>
    <x v="4"/>
    <x v="2"/>
    <x v="3"/>
    <x v="0"/>
    <n v="48000"/>
    <n v="2"/>
    <s v="Yes"/>
    <n v="0"/>
    <x v="1"/>
    <s v="Low"/>
    <s v="Low"/>
  </r>
  <r>
    <n v="38"/>
    <s v="Kevin Brown"/>
    <x v="0"/>
    <x v="0"/>
    <x v="0"/>
    <x v="0"/>
    <x v="0"/>
    <x v="0"/>
    <x v="0"/>
    <n v="61000"/>
    <n v="3"/>
    <s v="No"/>
    <n v="1"/>
    <x v="0"/>
    <s v="medium"/>
    <s v="Medium"/>
  </r>
  <r>
    <n v="39"/>
    <s v="Farah Mahmood"/>
    <x v="1"/>
    <x v="16"/>
    <x v="2"/>
    <x v="5"/>
    <x v="0"/>
    <x v="2"/>
    <x v="0"/>
    <n v="58000"/>
    <n v="4"/>
    <s v="No"/>
    <n v="0"/>
    <x v="0"/>
    <s v="medium"/>
    <s v="High"/>
  </r>
  <r>
    <n v="40"/>
    <s v="Daniel Kim"/>
    <x v="0"/>
    <x v="18"/>
    <x v="1"/>
    <x v="1"/>
    <x v="1"/>
    <x v="1"/>
    <x v="0"/>
    <n v="76000"/>
    <n v="3"/>
    <s v="Yes"/>
    <n v="0"/>
    <x v="1"/>
    <s v="High"/>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DFD904-D3AB-412C-95C7-A6DD118F6BA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5:F8" firstHeaderRow="1" firstDataRow="1" firstDataCol="1"/>
  <pivotFields count="16">
    <pivotField numFmtId="1" showAll="0"/>
    <pivotField showAll="0"/>
    <pivotField showAll="0"/>
    <pivotField showAll="0"/>
    <pivotField showAll="0">
      <items count="4">
        <item x="2"/>
        <item h="1" x="1"/>
        <item x="0"/>
        <item t="default"/>
      </items>
    </pivotField>
    <pivotField showAll="0"/>
    <pivotField showAll="0">
      <items count="5">
        <item x="2"/>
        <item x="0"/>
        <item x="1"/>
        <item x="3"/>
        <item t="default"/>
      </items>
    </pivotField>
    <pivotField showAll="0"/>
    <pivotField showAll="0"/>
    <pivotField numFmtId="164" showAll="0"/>
    <pivotField numFmtId="1" showAll="0"/>
    <pivotField showAll="0"/>
    <pivotField dataField="1" showAll="0"/>
    <pivotField axis="axisRow" showAll="0">
      <items count="3">
        <item x="0"/>
        <item x="1"/>
        <item t="default"/>
      </items>
    </pivotField>
    <pivotField showAll="0"/>
    <pivotField showAll="0"/>
  </pivotFields>
  <rowFields count="1">
    <field x="13"/>
  </rowFields>
  <rowItems count="3">
    <i>
      <x/>
    </i>
    <i>
      <x v="1"/>
    </i>
    <i t="grand">
      <x/>
    </i>
  </rowItems>
  <colItems count="1">
    <i/>
  </colItems>
  <dataFields count="1">
    <dataField name="Sum of AttritionFlag" fld="12" baseField="0" baseItem="0"/>
  </dataFields>
  <formats count="6">
    <format dxfId="5">
      <pivotArea type="all" dataOnly="0" outline="0" fieldPosition="0"/>
    </format>
    <format dxfId="4">
      <pivotArea outline="0" collapsedLevelsAreSubtotals="1" fieldPosition="0"/>
    </format>
    <format dxfId="3">
      <pivotArea field="13" type="button" dataOnly="0" labelOnly="1" outline="0" axis="axisRow" fieldPosition="0"/>
    </format>
    <format dxfId="2">
      <pivotArea dataOnly="0" labelOnly="1" fieldPosition="0">
        <references count="1">
          <reference field="13" count="0"/>
        </references>
      </pivotArea>
    </format>
    <format dxfId="1">
      <pivotArea dataOnly="0" labelOnly="1" grandRow="1" outline="0" fieldPosition="0"/>
    </format>
    <format dxfId="0">
      <pivotArea dataOnly="0" labelOnly="1" outline="0" axis="axisValues" fieldPosition="0"/>
    </format>
  </format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D62C56-CCD2-445E-A943-7A8480754E4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J15:L23" firstHeaderRow="0" firstDataRow="1" firstDataCol="1"/>
  <pivotFields count="16">
    <pivotField numFmtId="1" showAll="0"/>
    <pivotField showAll="0"/>
    <pivotField showAll="0"/>
    <pivotField showAll="0"/>
    <pivotField showAll="0">
      <items count="4">
        <item x="2"/>
        <item h="1" x="1"/>
        <item x="0"/>
        <item t="default"/>
      </items>
    </pivotField>
    <pivotField showAll="0"/>
    <pivotField axis="axisRow" showAll="0">
      <items count="5">
        <item x="2"/>
        <item x="0"/>
        <item x="1"/>
        <item x="3"/>
        <item t="default"/>
      </items>
    </pivotField>
    <pivotField showAll="0">
      <items count="5">
        <item x="2"/>
        <item x="1"/>
        <item x="0"/>
        <item x="3"/>
        <item t="default"/>
      </items>
    </pivotField>
    <pivotField axis="axisRow" showAll="0">
      <items count="4">
        <item x="2"/>
        <item x="0"/>
        <item x="1"/>
        <item t="default"/>
      </items>
    </pivotField>
    <pivotField dataField="1" numFmtId="164" showAll="0"/>
    <pivotField numFmtId="1" showAll="0"/>
    <pivotField showAll="0"/>
    <pivotField dataField="1" showAll="0"/>
    <pivotField showAll="0"/>
    <pivotField showAll="0"/>
    <pivotField showAll="0"/>
  </pivotFields>
  <rowFields count="2">
    <field x="8"/>
    <field x="6"/>
  </rowFields>
  <rowItems count="8">
    <i>
      <x/>
    </i>
    <i r="1">
      <x v="1"/>
    </i>
    <i>
      <x v="1"/>
    </i>
    <i r="1">
      <x v="1"/>
    </i>
    <i r="1">
      <x v="2"/>
    </i>
    <i>
      <x v="2"/>
    </i>
    <i r="1">
      <x v="1"/>
    </i>
    <i t="grand">
      <x/>
    </i>
  </rowItems>
  <colFields count="1">
    <field x="-2"/>
  </colFields>
  <colItems count="2">
    <i>
      <x/>
    </i>
    <i i="1">
      <x v="1"/>
    </i>
  </colItems>
  <dataFields count="2">
    <dataField name="Sum of AttritionFlag" fld="12" baseField="0" baseItem="0"/>
    <dataField name="Sum of Salary" fld="9" baseField="0" baseItem="0" numFmtId="164"/>
  </dataFields>
  <formats count="9">
    <format dxfId="14">
      <pivotArea type="all" dataOnly="0" outline="0" fieldPosition="0"/>
    </format>
    <format dxfId="13">
      <pivotArea outline="0" collapsedLevelsAreSubtotals="1" fieldPosition="0"/>
    </format>
    <format dxfId="12">
      <pivotArea field="8" type="button" dataOnly="0" labelOnly="1" outline="0" axis="axisRow" fieldPosition="0"/>
    </format>
    <format dxfId="11">
      <pivotArea dataOnly="0" labelOnly="1" fieldPosition="0">
        <references count="1">
          <reference field="8" count="0"/>
        </references>
      </pivotArea>
    </format>
    <format dxfId="10">
      <pivotArea dataOnly="0" labelOnly="1" grandRow="1" outline="0" fieldPosition="0"/>
    </format>
    <format dxfId="9">
      <pivotArea dataOnly="0" labelOnly="1" fieldPosition="0">
        <references count="2">
          <reference field="6" count="1">
            <x v="1"/>
          </reference>
          <reference field="8" count="1" selected="0">
            <x v="0"/>
          </reference>
        </references>
      </pivotArea>
    </format>
    <format dxfId="8">
      <pivotArea dataOnly="0" labelOnly="1" fieldPosition="0">
        <references count="2">
          <reference field="6" count="0"/>
          <reference field="8" count="1" selected="0">
            <x v="1"/>
          </reference>
        </references>
      </pivotArea>
    </format>
    <format dxfId="7">
      <pivotArea dataOnly="0" labelOnly="1" fieldPosition="0">
        <references count="2">
          <reference field="6" count="3">
            <x v="0"/>
            <x v="1"/>
            <x v="2"/>
          </reference>
          <reference field="8" count="1" selected="0">
            <x v="2"/>
          </reference>
        </references>
      </pivotArea>
    </format>
    <format dxfId="6">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49025F-6CE0-4B31-B615-CB96798FF61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18:H21" firstHeaderRow="1" firstDataRow="1" firstDataCol="1"/>
  <pivotFields count="16">
    <pivotField numFmtId="1" showAll="0"/>
    <pivotField showAll="0"/>
    <pivotField showAll="0"/>
    <pivotField showAll="0"/>
    <pivotField showAll="0">
      <items count="4">
        <item x="2"/>
        <item h="1" x="1"/>
        <item x="0"/>
        <item t="default"/>
      </items>
    </pivotField>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 showAll="0"/>
    <pivotField showAll="0"/>
    <pivotField dataField="1" showAll="0"/>
    <pivotField showAll="0">
      <items count="3">
        <item x="0"/>
        <item x="1"/>
        <item t="default"/>
      </items>
    </pivotField>
    <pivotField showAll="0"/>
    <pivotField showAll="0"/>
  </pivotFields>
  <rowFields count="1">
    <field x="6"/>
  </rowFields>
  <rowItems count="3">
    <i>
      <x v="2"/>
    </i>
    <i>
      <x v="1"/>
    </i>
    <i t="grand">
      <x/>
    </i>
  </rowItems>
  <colItems count="1">
    <i/>
  </colItems>
  <dataFields count="1">
    <dataField name="Sum of AttritionFlag" fld="12" baseField="0" baseItem="0"/>
  </dataFields>
  <formats count="6">
    <format dxfId="20">
      <pivotArea type="all" dataOnly="0" outline="0" fieldPosition="0"/>
    </format>
    <format dxfId="19">
      <pivotArea outline="0" collapsedLevelsAreSubtotals="1" fieldPosition="0"/>
    </format>
    <format dxfId="18">
      <pivotArea field="6" type="button" dataOnly="0" labelOnly="1" outline="0" axis="axisRow" fieldPosition="0"/>
    </format>
    <format dxfId="17">
      <pivotArea dataOnly="0" labelOnly="1" fieldPosition="0">
        <references count="1">
          <reference field="6" count="0"/>
        </references>
      </pivotArea>
    </format>
    <format dxfId="16">
      <pivotArea dataOnly="0" labelOnly="1" grandRow="1" outline="0" fieldPosition="0"/>
    </format>
    <format dxfId="15">
      <pivotArea dataOnly="0" labelOnly="1" outline="0" axis="axisValues" fieldPosition="0"/>
    </format>
  </formats>
  <chartFormats count="3">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68F504-0C53-4CDB-B02E-FB221A70EBF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B8" firstHeaderRow="1" firstDataRow="1" firstDataCol="1"/>
  <pivotFields count="16">
    <pivotField numFmtId="1" showAll="0"/>
    <pivotField showAll="0"/>
    <pivotField showAll="0"/>
    <pivotField showAll="0"/>
    <pivotField axis="axisRow" showAll="0">
      <items count="4">
        <item x="2"/>
        <item h="1" x="1"/>
        <item x="0"/>
        <item t="default"/>
      </items>
    </pivotField>
    <pivotField showAll="0"/>
    <pivotField showAll="0">
      <items count="5">
        <item x="2"/>
        <item x="0"/>
        <item x="1"/>
        <item x="3"/>
        <item t="default"/>
      </items>
    </pivotField>
    <pivotField showAll="0"/>
    <pivotField showAll="0"/>
    <pivotField numFmtId="164" showAll="0"/>
    <pivotField numFmtId="1" showAll="0"/>
    <pivotField showAll="0"/>
    <pivotField dataField="1" showAll="0"/>
    <pivotField showAll="0"/>
    <pivotField showAll="0"/>
    <pivotField showAll="0"/>
  </pivotFields>
  <rowFields count="1">
    <field x="4"/>
  </rowFields>
  <rowItems count="3">
    <i>
      <x/>
    </i>
    <i>
      <x v="2"/>
    </i>
    <i t="grand">
      <x/>
    </i>
  </rowItems>
  <colItems count="1">
    <i/>
  </colItems>
  <dataFields count="1">
    <dataField name="Sum of AttritionFlag" fld="12" baseField="0" baseItem="0"/>
  </dataFields>
  <formats count="6">
    <format dxfId="26">
      <pivotArea type="all" dataOnly="0" outline="0" fieldPosition="0"/>
    </format>
    <format dxfId="25">
      <pivotArea outline="0" collapsedLevelsAreSubtotals="1" fieldPosition="0"/>
    </format>
    <format dxfId="24">
      <pivotArea field="4" type="button" dataOnly="0" labelOnly="1" outline="0" axis="axisRow" fieldPosition="0"/>
    </format>
    <format dxfId="23">
      <pivotArea dataOnly="0" labelOnly="1" fieldPosition="0">
        <references count="1">
          <reference field="4" count="0"/>
        </references>
      </pivotArea>
    </format>
    <format dxfId="22">
      <pivotArea dataOnly="0" labelOnly="1" grandRow="1" outline="0" fieldPosition="0"/>
    </format>
    <format dxfId="21">
      <pivotArea dataOnly="0" labelOnly="1" outline="0" axis="axisValues" fieldPosition="0"/>
    </format>
  </formats>
  <chartFormats count="4">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 chart="12" format="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C9D5F3-B137-47C7-9FB2-6CF0689BC6F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location ref="D14:E17" firstHeaderRow="1" firstDataRow="1" firstDataCol="1"/>
  <pivotFields count="16">
    <pivotField dataField="1" numFmtId="1" showAll="0"/>
    <pivotField showAll="0"/>
    <pivotField axis="axisRow" showAll="0">
      <items count="3">
        <item x="1"/>
        <item x="0"/>
        <item t="default"/>
      </items>
    </pivotField>
    <pivotField showAll="0"/>
    <pivotField showAll="0">
      <items count="4">
        <item x="2"/>
        <item h="1" x="1"/>
        <item x="0"/>
        <item t="default"/>
      </items>
    </pivotField>
    <pivotField showAll="0"/>
    <pivotField showAll="0">
      <items count="5">
        <item x="2"/>
        <item x="0"/>
        <item x="1"/>
        <item x="3"/>
        <item t="default"/>
      </items>
    </pivotField>
    <pivotField showAll="0">
      <items count="5">
        <item x="2"/>
        <item x="1"/>
        <item x="0"/>
        <item x="3"/>
        <item t="default"/>
      </items>
    </pivotField>
    <pivotField showAll="0"/>
    <pivotField numFmtId="164" showAll="0"/>
    <pivotField numFmtId="1"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ID" fld="0" subtotal="count" baseField="2" baseItem="0"/>
  </dataFields>
  <formats count="6">
    <format dxfId="32">
      <pivotArea type="all" dataOnly="0" outline="0" fieldPosition="0"/>
    </format>
    <format dxfId="31">
      <pivotArea outline="0" collapsedLevelsAreSubtotals="1" fieldPosition="0"/>
    </format>
    <format dxfId="30">
      <pivotArea field="2" type="button" dataOnly="0" labelOnly="1" outline="0" axis="axisRow" fieldPosition="0"/>
    </format>
    <format dxfId="29">
      <pivotArea dataOnly="0" labelOnly="1" fieldPosition="0">
        <references count="1">
          <reference field="2" count="0"/>
        </references>
      </pivotArea>
    </format>
    <format dxfId="28">
      <pivotArea dataOnly="0" labelOnly="1" grandRow="1" outline="0" fieldPosition="0"/>
    </format>
    <format dxfId="27">
      <pivotArea dataOnly="0" labelOnly="1" outline="0" axis="axisValues" fieldPosition="0"/>
    </format>
  </formats>
  <chartFormats count="4">
    <chartFormat chart="59" format="10" series="1">
      <pivotArea type="data" outline="0" fieldPosition="0">
        <references count="1">
          <reference field="4294967294" count="1" selected="0">
            <x v="0"/>
          </reference>
        </references>
      </pivotArea>
    </chartFormat>
    <chartFormat chart="59" format="11">
      <pivotArea type="data" outline="0" fieldPosition="0">
        <references count="2">
          <reference field="4294967294" count="1" selected="0">
            <x v="0"/>
          </reference>
          <reference field="2" count="1" selected="0">
            <x v="0"/>
          </reference>
        </references>
      </pivotArea>
    </chartFormat>
    <chartFormat chart="59" format="12">
      <pivotArea type="data" outline="0" fieldPosition="0">
        <references count="2">
          <reference field="4294967294" count="1" selected="0">
            <x v="0"/>
          </reference>
          <reference field="2" count="1" selected="0">
            <x v="1"/>
          </reference>
        </references>
      </pivotArea>
    </chartFormat>
    <chartFormat chart="59" format="1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9F602F-E0E6-4819-AEAB-8C1D5003FB0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4:B17" firstHeaderRow="1" firstDataRow="1" firstDataCol="1"/>
  <pivotFields count="16">
    <pivotField numFmtId="1" showAll="0"/>
    <pivotField showAll="0"/>
    <pivotField showAll="0"/>
    <pivotField showAll="0"/>
    <pivotField showAll="0">
      <items count="4">
        <item x="2"/>
        <item h="1" x="1"/>
        <item x="0"/>
        <item t="default"/>
      </items>
    </pivotField>
    <pivotField showAll="0"/>
    <pivotField showAll="0">
      <items count="5">
        <item x="2"/>
        <item x="0"/>
        <item x="1"/>
        <item x="3"/>
        <item t="default"/>
      </items>
    </pivotField>
    <pivotField axis="axisRow" showAll="0">
      <items count="5">
        <item x="2"/>
        <item x="1"/>
        <item x="0"/>
        <item x="3"/>
        <item t="default"/>
      </items>
    </pivotField>
    <pivotField showAll="0"/>
    <pivotField numFmtId="164" showAll="0"/>
    <pivotField numFmtId="1" showAll="0"/>
    <pivotField showAll="0"/>
    <pivotField dataField="1" showAll="0"/>
    <pivotField showAll="0"/>
    <pivotField showAll="0"/>
    <pivotField showAll="0"/>
  </pivotFields>
  <rowFields count="1">
    <field x="7"/>
  </rowFields>
  <rowItems count="3">
    <i>
      <x/>
    </i>
    <i>
      <x v="2"/>
    </i>
    <i t="grand">
      <x/>
    </i>
  </rowItems>
  <colItems count="1">
    <i/>
  </colItems>
  <dataFields count="1">
    <dataField name="Sum of AttritionFlag" fld="12" baseField="0" baseItem="0"/>
  </dataFields>
  <formats count="6">
    <format dxfId="38">
      <pivotArea type="all" dataOnly="0" outline="0" fieldPosition="0"/>
    </format>
    <format dxfId="37">
      <pivotArea outline="0" collapsedLevelsAreSubtotals="1" fieldPosition="0"/>
    </format>
    <format dxfId="36">
      <pivotArea field="7" type="button" dataOnly="0" labelOnly="1" outline="0" axis="axisRow" fieldPosition="0"/>
    </format>
    <format dxfId="35">
      <pivotArea dataOnly="0" labelOnly="1" fieldPosition="0">
        <references count="1">
          <reference field="7" count="0"/>
        </references>
      </pivotArea>
    </format>
    <format dxfId="34">
      <pivotArea dataOnly="0" labelOnly="1" grandRow="1" outline="0" fieldPosition="0"/>
    </format>
    <format dxfId="3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0B9EE7-035D-4BCF-9271-4EBAA5FE193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I5:J10" firstHeaderRow="1" firstDataRow="1" firstDataCol="1"/>
  <pivotFields count="16">
    <pivotField numFmtId="1" showAll="0"/>
    <pivotField showAll="0"/>
    <pivotField showAll="0"/>
    <pivotField showAll="0"/>
    <pivotField showAll="0">
      <items count="4">
        <item x="2"/>
        <item h="1" x="1"/>
        <item x="0"/>
        <item t="default"/>
      </items>
    </pivotField>
    <pivotField axis="axisRow" showAll="0">
      <items count="7">
        <item x="5"/>
        <item x="2"/>
        <item x="4"/>
        <item x="1"/>
        <item x="0"/>
        <item x="3"/>
        <item t="default"/>
      </items>
    </pivotField>
    <pivotField showAll="0">
      <items count="5">
        <item x="2"/>
        <item x="0"/>
        <item x="1"/>
        <item x="3"/>
        <item t="default"/>
      </items>
    </pivotField>
    <pivotField showAll="0"/>
    <pivotField showAll="0"/>
    <pivotField numFmtId="164" showAll="0"/>
    <pivotField numFmtId="1" showAll="0"/>
    <pivotField showAll="0"/>
    <pivotField dataField="1" showAll="0"/>
    <pivotField showAll="0">
      <items count="3">
        <item x="0"/>
        <item x="1"/>
        <item t="default"/>
      </items>
    </pivotField>
    <pivotField showAll="0"/>
    <pivotField showAll="0"/>
  </pivotFields>
  <rowFields count="1">
    <field x="5"/>
  </rowFields>
  <rowItems count="5">
    <i>
      <x/>
    </i>
    <i>
      <x v="1"/>
    </i>
    <i>
      <x v="4"/>
    </i>
    <i>
      <x v="5"/>
    </i>
    <i t="grand">
      <x/>
    </i>
  </rowItems>
  <colItems count="1">
    <i/>
  </colItems>
  <dataFields count="1">
    <dataField name="Sum of AttritionFlag" fld="12" baseField="0" baseItem="0"/>
  </dataFields>
  <formats count="6">
    <format dxfId="44">
      <pivotArea type="all" dataOnly="0" outline="0" fieldPosition="0"/>
    </format>
    <format dxfId="43">
      <pivotArea outline="0" collapsedLevelsAreSubtotals="1" fieldPosition="0"/>
    </format>
    <format dxfId="42">
      <pivotArea field="5" type="button" dataOnly="0" labelOnly="1" outline="0" axis="axisRow" fieldPosition="0"/>
    </format>
    <format dxfId="41">
      <pivotArea dataOnly="0" labelOnly="1" fieldPosition="0">
        <references count="1">
          <reference field="5" count="0"/>
        </references>
      </pivotArea>
    </format>
    <format dxfId="40">
      <pivotArea dataOnly="0" labelOnly="1" grandRow="1" outline="0" fieldPosition="0"/>
    </format>
    <format dxfId="39">
      <pivotArea dataOnly="0" labelOnly="1" outline="0" axis="axisValues" fieldPosition="0"/>
    </format>
  </formats>
  <chartFormats count="14">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7" format="6" series="1">
      <pivotArea type="data" outline="0" fieldPosition="0">
        <references count="2">
          <reference field="4294967294" count="1" selected="0">
            <x v="0"/>
          </reference>
          <reference field="5" count="1" selected="0">
            <x v="2"/>
          </reference>
        </references>
      </pivotArea>
    </chartFormat>
    <chartFormat chart="17" format="7" series="1">
      <pivotArea type="data" outline="0" fieldPosition="0">
        <references count="2">
          <reference field="4294967294" count="1" selected="0">
            <x v="0"/>
          </reference>
          <reference field="5" count="1" selected="0">
            <x v="3"/>
          </reference>
        </references>
      </pivotArea>
    </chartFormat>
    <chartFormat chart="17" format="8" series="1">
      <pivotArea type="data" outline="0" fieldPosition="0">
        <references count="2">
          <reference field="4294967294" count="1" selected="0">
            <x v="0"/>
          </reference>
          <reference field="5" count="1" selected="0">
            <x v="4"/>
          </reference>
        </references>
      </pivotArea>
    </chartFormat>
    <chartFormat chart="17" format="9" series="1">
      <pivotArea type="data" outline="0" fieldPosition="0">
        <references count="2">
          <reference field="4294967294" count="1" selected="0">
            <x v="0"/>
          </reference>
          <reference field="5" count="1" selected="0">
            <x v="5"/>
          </reference>
        </references>
      </pivotArea>
    </chartFormat>
    <chartFormat chart="17" format="10">
      <pivotArea type="data" outline="0" fieldPosition="0">
        <references count="2">
          <reference field="4294967294" count="1" selected="0">
            <x v="0"/>
          </reference>
          <reference field="5" count="1" selected="0">
            <x v="0"/>
          </reference>
        </references>
      </pivotArea>
    </chartFormat>
    <chartFormat chart="17" format="11">
      <pivotArea type="data" outline="0" fieldPosition="0">
        <references count="2">
          <reference field="4294967294" count="1" selected="0">
            <x v="0"/>
          </reference>
          <reference field="5" count="1" selected="0">
            <x v="1"/>
          </reference>
        </references>
      </pivotArea>
    </chartFormat>
    <chartFormat chart="17" format="12">
      <pivotArea type="data" outline="0" fieldPosition="0">
        <references count="2">
          <reference field="4294967294" count="1" selected="0">
            <x v="0"/>
          </reference>
          <reference field="5" count="1" selected="0">
            <x v="2"/>
          </reference>
        </references>
      </pivotArea>
    </chartFormat>
    <chartFormat chart="17" format="13">
      <pivotArea type="data" outline="0" fieldPosition="0">
        <references count="2">
          <reference field="4294967294" count="1" selected="0">
            <x v="0"/>
          </reference>
          <reference field="5" count="1" selected="0">
            <x v="3"/>
          </reference>
        </references>
      </pivotArea>
    </chartFormat>
    <chartFormat chart="17" format="14">
      <pivotArea type="data" outline="0" fieldPosition="0">
        <references count="2">
          <reference field="4294967294" count="1" selected="0">
            <x v="0"/>
          </reference>
          <reference field="5" count="1" selected="0">
            <x v="4"/>
          </reference>
        </references>
      </pivotArea>
    </chartFormat>
    <chartFormat chart="17" format="15">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8AF6E29-0B2C-430B-9EDC-8F21CC6016F0}" sourceName="Department">
  <pivotTables>
    <pivotTable tabId="2" name="PivotTable6"/>
    <pivotTable tabId="2" name="PivotTable11"/>
    <pivotTable tabId="2" name="PivotTable12"/>
    <pivotTable tabId="2" name="PivotTable13"/>
    <pivotTable tabId="2" name="PivotTable7"/>
    <pivotTable tabId="2" name="PivotTable8"/>
    <pivotTable tabId="2" name="PivotTable9"/>
  </pivotTables>
  <data>
    <tabular pivotCacheId="966472963">
      <items count="3">
        <i x="2" s="1"/>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AF7DD69-4950-4091-9B6D-15C037A08795}" sourceName="Education">
  <pivotTables>
    <pivotTable tabId="2" name="PivotTable6"/>
    <pivotTable tabId="2" name="PivotTable11"/>
    <pivotTable tabId="2" name="PivotTable12"/>
    <pivotTable tabId="2" name="PivotTable13"/>
    <pivotTable tabId="2" name="PivotTable7"/>
    <pivotTable tabId="2" name="PivotTable8"/>
    <pivotTable tabId="2" name="PivotTable9"/>
  </pivotTables>
  <data>
    <tabular pivotCacheId="966472963">
      <items count="4">
        <i x="0" s="1"/>
        <i x="1" s="1"/>
        <i x="2"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CF9E8BB-A752-44E6-88AC-F8682A4906FB}" cache="Slicer_Department" caption="Department" rowHeight="234950"/>
  <slicer name="Education 1" xr10:uid="{F91CDCA5-699B-47AA-AE4E-0CF8F98960DB}" cache="Slicer_Education" caption="Edu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798A74-5E38-4447-9743-530A90C1728A}" name="HR_Data5" displayName="HR_Data5" ref="A1:P41" totalsRowShown="0" headerRowDxfId="64" headerRowBorderDxfId="63" tableBorderDxfId="62" totalsRowBorderDxfId="61">
  <autoFilter ref="A1:P41" xr:uid="{6E798A74-5E38-4447-9743-530A90C1728A}"/>
  <tableColumns count="16">
    <tableColumn id="1" xr3:uid="{CBFAE744-6467-4B56-AA33-63A40CB03B53}" name="EmployeeID" dataDxfId="60"/>
    <tableColumn id="2" xr3:uid="{F0A1ECC9-FF32-4F6B-9C0D-9A9684ECF11E}" name="Name" dataDxfId="59"/>
    <tableColumn id="3" xr3:uid="{97B55247-828C-4396-9C1E-AF869079113C}" name="Gender" dataDxfId="58"/>
    <tableColumn id="4" xr3:uid="{B06BDC5A-D201-4466-968C-8F3B1A4854F4}" name="Age" dataDxfId="57"/>
    <tableColumn id="5" xr3:uid="{F7754F82-20FD-45B2-9314-A28FFC92EF26}" name="Department" dataDxfId="56"/>
    <tableColumn id="6" xr3:uid="{D08F2A79-CAC6-43E2-96C0-278F28D403BA}" name="JobRole" dataDxfId="55"/>
    <tableColumn id="7" xr3:uid="{8DE48914-BD0A-4A2B-8CC6-AF13DB8E4E9C}" name="Education" dataDxfId="54"/>
    <tableColumn id="8" xr3:uid="{568C86AA-7033-436F-B04B-26362B45CEF5}" name="EducationField" dataDxfId="53"/>
    <tableColumn id="9" xr3:uid="{ED8E2433-2FAF-441F-B366-E31C85750FF6}" name="MaritalStatus" dataDxfId="52"/>
    <tableColumn id="10" xr3:uid="{BDD4399C-6FFD-404C-A042-FE1A4989295B}" name="Salary" dataDxfId="51" dataCellStyle="Currency"/>
    <tableColumn id="11" xr3:uid="{BCD9B4A1-0AA2-4EB1-93FE-95B984372052}" name="JobSatisfaction" dataDxfId="50"/>
    <tableColumn id="12" xr3:uid="{E916EE33-A911-4DBC-BD03-3CA47051239B}" name="Attrition" dataDxfId="49"/>
    <tableColumn id="13" xr3:uid="{509D6322-B020-40CF-9186-706B629F9823}" name="AttritionFlag" dataDxfId="48">
      <calculatedColumnFormula>IF(L3="Yes",1,0)</calculatedColumnFormula>
    </tableColumn>
    <tableColumn id="14" xr3:uid="{7B7580DF-103B-4E2C-A088-1CD779670FC2}" name="AgeGroup" dataDxfId="47">
      <calculatedColumnFormula>IF( HR_Data5[[#This Row],[Age]]&lt;25, "Under 25",IF( HR_Data5[[#This Row],[Age]]&lt;=34, "25-34",IF( HR_Data5[[#This Row],[Age]]&lt;=33, "35-44",IF( HR_Data5[[#This Row],[Age]]&lt;=54,"45-54", "55+"))))</calculatedColumnFormula>
    </tableColumn>
    <tableColumn id="15" xr3:uid="{C7A1DBE1-84B2-4A84-BB73-914613DE4826}" name="SalaryBan" dataDxfId="46">
      <calculatedColumnFormula>IF( HR_Data5[[#This Row],[Salary]]&lt;50000,"Low",IF( HR_Data5[[#This Row],[Salary]]&lt;=70000,"medium","High"))</calculatedColumnFormula>
    </tableColumn>
    <tableColumn id="16" xr3:uid="{EE73DDC5-6EE7-43A2-B0EE-5B0BD2BCC3E9}" name="SatifactionLevel" dataDxfId="45">
      <calculatedColumnFormula>IF( HR_Data5[[#This Row],[JobSatisfaction]]&lt;=2,"Low",IF( HR_Data5[[#This Row],[JobSatisfaction]]=3,"Medium","High"))</calculatedColumnFormula>
    </tableColumn>
  </tableColumns>
  <tableStyleInfo name="TableStyleMedium27" showFirstColumn="0" showLastColumn="0" showRowStripes="0" showColumnStripes="1"/>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27022-E3E9-4048-9B76-0879CE00C90B}">
  <dimension ref="A1:A45"/>
  <sheetViews>
    <sheetView topLeftCell="A11" workbookViewId="0">
      <selection activeCell="E10" sqref="E10"/>
    </sheetView>
  </sheetViews>
  <sheetFormatPr defaultRowHeight="13.8" x14ac:dyDescent="0.25"/>
  <sheetData>
    <row r="1" spans="1:1" x14ac:dyDescent="0.25">
      <c r="A1" t="s">
        <v>0</v>
      </c>
    </row>
    <row r="3" spans="1:1" x14ac:dyDescent="0.25">
      <c r="A3" t="s">
        <v>13</v>
      </c>
    </row>
    <row r="4" spans="1:1" x14ac:dyDescent="0.25">
      <c r="A4" t="s">
        <v>14</v>
      </c>
    </row>
    <row r="5" spans="1:1" x14ac:dyDescent="0.25">
      <c r="A5" t="s">
        <v>15</v>
      </c>
    </row>
    <row r="6" spans="1:1" x14ac:dyDescent="0.25">
      <c r="A6" t="s">
        <v>16</v>
      </c>
    </row>
    <row r="7" spans="1:1" x14ac:dyDescent="0.25">
      <c r="A7" t="s">
        <v>17</v>
      </c>
    </row>
    <row r="8" spans="1:1" x14ac:dyDescent="0.25">
      <c r="A8" t="s">
        <v>18</v>
      </c>
    </row>
    <row r="9" spans="1:1" x14ac:dyDescent="0.25">
      <c r="A9" t="s">
        <v>19</v>
      </c>
    </row>
    <row r="10" spans="1:1" x14ac:dyDescent="0.25">
      <c r="A10" t="s">
        <v>20</v>
      </c>
    </row>
    <row r="11" spans="1:1" x14ac:dyDescent="0.25">
      <c r="A11" t="s">
        <v>21</v>
      </c>
    </row>
    <row r="12" spans="1:1" x14ac:dyDescent="0.25">
      <c r="A12" t="s">
        <v>22</v>
      </c>
    </row>
    <row r="14" spans="1:1" x14ac:dyDescent="0.25">
      <c r="A14" t="s">
        <v>23</v>
      </c>
    </row>
    <row r="15" spans="1:1" x14ac:dyDescent="0.25">
      <c r="A15" t="s">
        <v>24</v>
      </c>
    </row>
    <row r="16" spans="1:1" x14ac:dyDescent="0.25">
      <c r="A16" t="s">
        <v>25</v>
      </c>
    </row>
    <row r="17" spans="1:1" x14ac:dyDescent="0.25">
      <c r="A17" t="s">
        <v>26</v>
      </c>
    </row>
    <row r="18" spans="1:1" x14ac:dyDescent="0.25">
      <c r="A18" t="s">
        <v>27</v>
      </c>
    </row>
    <row r="19" spans="1:1" x14ac:dyDescent="0.25">
      <c r="A19" t="s">
        <v>28</v>
      </c>
    </row>
    <row r="20" spans="1:1" x14ac:dyDescent="0.25">
      <c r="A20" t="s">
        <v>29</v>
      </c>
    </row>
    <row r="21" spans="1:1" x14ac:dyDescent="0.25">
      <c r="A21" t="s">
        <v>30</v>
      </c>
    </row>
    <row r="22" spans="1:1" x14ac:dyDescent="0.25">
      <c r="A22" t="s">
        <v>31</v>
      </c>
    </row>
    <row r="23" spans="1:1" x14ac:dyDescent="0.25">
      <c r="A23" t="s">
        <v>32</v>
      </c>
    </row>
    <row r="25" spans="1:1" x14ac:dyDescent="0.25">
      <c r="A25" t="s">
        <v>33</v>
      </c>
    </row>
    <row r="26" spans="1:1" x14ac:dyDescent="0.25">
      <c r="A26" t="s">
        <v>34</v>
      </c>
    </row>
    <row r="27" spans="1:1" x14ac:dyDescent="0.25">
      <c r="A27" t="s">
        <v>35</v>
      </c>
    </row>
    <row r="28" spans="1:1" x14ac:dyDescent="0.25">
      <c r="A28" t="s">
        <v>36</v>
      </c>
    </row>
    <row r="29" spans="1:1" x14ac:dyDescent="0.25">
      <c r="A29" t="s">
        <v>37</v>
      </c>
    </row>
    <row r="30" spans="1:1" x14ac:dyDescent="0.25">
      <c r="A30" t="s">
        <v>38</v>
      </c>
    </row>
    <row r="31" spans="1:1" x14ac:dyDescent="0.25">
      <c r="A31" t="s">
        <v>39</v>
      </c>
    </row>
    <row r="32" spans="1:1" x14ac:dyDescent="0.25">
      <c r="A32" t="s">
        <v>40</v>
      </c>
    </row>
    <row r="33" spans="1:1" x14ac:dyDescent="0.25">
      <c r="A33" t="s">
        <v>41</v>
      </c>
    </row>
    <row r="34" spans="1:1" x14ac:dyDescent="0.25">
      <c r="A34" t="s">
        <v>42</v>
      </c>
    </row>
    <row r="36" spans="1:1" x14ac:dyDescent="0.25">
      <c r="A36" t="s">
        <v>43</v>
      </c>
    </row>
    <row r="37" spans="1:1" x14ac:dyDescent="0.25">
      <c r="A37" t="s">
        <v>44</v>
      </c>
    </row>
    <row r="38" spans="1:1" x14ac:dyDescent="0.25">
      <c r="A38" t="s">
        <v>45</v>
      </c>
    </row>
    <row r="39" spans="1:1" x14ac:dyDescent="0.25">
      <c r="A39" t="s">
        <v>46</v>
      </c>
    </row>
    <row r="40" spans="1:1" x14ac:dyDescent="0.25">
      <c r="A40" t="s">
        <v>47</v>
      </c>
    </row>
    <row r="41" spans="1:1" x14ac:dyDescent="0.25">
      <c r="A41" t="s">
        <v>48</v>
      </c>
    </row>
    <row r="42" spans="1:1" x14ac:dyDescent="0.25">
      <c r="A42" t="s">
        <v>49</v>
      </c>
    </row>
    <row r="43" spans="1:1" x14ac:dyDescent="0.25">
      <c r="A43" t="s">
        <v>50</v>
      </c>
    </row>
    <row r="44" spans="1:1" x14ac:dyDescent="0.25">
      <c r="A44" t="s">
        <v>51</v>
      </c>
    </row>
    <row r="45" spans="1:1" x14ac:dyDescent="0.25">
      <c r="A45"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81E29-3584-4765-94BC-D381B1C28F9B}">
  <dimension ref="A1:P41"/>
  <sheetViews>
    <sheetView zoomScale="73" zoomScaleNormal="100" workbookViewId="0">
      <selection activeCell="E1" sqref="E1"/>
    </sheetView>
  </sheetViews>
  <sheetFormatPr defaultRowHeight="13.8" x14ac:dyDescent="0.25"/>
  <cols>
    <col min="1" max="1" width="13.19921875" customWidth="1"/>
    <col min="2" max="2" width="14.59765625" customWidth="1"/>
    <col min="3" max="3" width="9.19921875" customWidth="1"/>
    <col min="4" max="4" width="6.296875" customWidth="1"/>
    <col min="5" max="5" width="13.19921875" customWidth="1"/>
    <col min="6" max="6" width="18" customWidth="1"/>
    <col min="7" max="7" width="11.59765625" customWidth="1"/>
    <col min="8" max="8" width="15.59765625" customWidth="1"/>
    <col min="9" max="9" width="14.296875" customWidth="1"/>
    <col min="10" max="10" width="11.09765625" customWidth="1"/>
    <col min="11" max="11" width="16" customWidth="1"/>
    <col min="12" max="12" width="10.19921875" customWidth="1"/>
    <col min="13" max="13" width="13.5" customWidth="1"/>
    <col min="14" max="14" width="11.59765625" customWidth="1"/>
    <col min="15" max="15" width="11.5" customWidth="1"/>
    <col min="16" max="16" width="16.59765625" customWidth="1"/>
  </cols>
  <sheetData>
    <row r="1" spans="1:16" x14ac:dyDescent="0.25">
      <c r="A1" s="9" t="s">
        <v>1</v>
      </c>
      <c r="B1" s="10" t="s">
        <v>2</v>
      </c>
      <c r="C1" s="10" t="s">
        <v>3</v>
      </c>
      <c r="D1" s="10" t="s">
        <v>4</v>
      </c>
      <c r="E1" s="10" t="s">
        <v>5</v>
      </c>
      <c r="F1" s="10" t="s">
        <v>6</v>
      </c>
      <c r="G1" s="10" t="s">
        <v>7</v>
      </c>
      <c r="H1" s="10" t="s">
        <v>8</v>
      </c>
      <c r="I1" s="10" t="s">
        <v>9</v>
      </c>
      <c r="J1" s="11" t="s">
        <v>10</v>
      </c>
      <c r="K1" s="12" t="s">
        <v>11</v>
      </c>
      <c r="L1" s="13" t="s">
        <v>12</v>
      </c>
      <c r="M1" s="10" t="s">
        <v>117</v>
      </c>
      <c r="N1" s="10" t="s">
        <v>118</v>
      </c>
      <c r="O1" s="10" t="s">
        <v>119</v>
      </c>
      <c r="P1" s="10" t="s">
        <v>120</v>
      </c>
    </row>
    <row r="2" spans="1:16" x14ac:dyDescent="0.25">
      <c r="A2" s="7">
        <v>1</v>
      </c>
      <c r="B2" s="2" t="s">
        <v>53</v>
      </c>
      <c r="C2" s="2" t="s">
        <v>54</v>
      </c>
      <c r="D2" s="2">
        <v>34</v>
      </c>
      <c r="E2" s="2" t="s">
        <v>55</v>
      </c>
      <c r="F2" s="2" t="s">
        <v>56</v>
      </c>
      <c r="G2" s="2" t="s">
        <v>57</v>
      </c>
      <c r="H2" s="2" t="s">
        <v>58</v>
      </c>
      <c r="I2" s="2" t="s">
        <v>59</v>
      </c>
      <c r="J2" s="3">
        <v>60000</v>
      </c>
      <c r="K2" s="6">
        <v>3</v>
      </c>
      <c r="L2" s="8" t="s">
        <v>60</v>
      </c>
      <c r="M2" s="4">
        <f>IF(L4="Yes",1,0)</f>
        <v>1</v>
      </c>
      <c r="N2" t="str">
        <f>IF( HR_Data5[[#This Row],[Age]]&lt;25, "Under 25",IF( HR_Data5[[#This Row],[Age]]&lt;=34, "25-34",IF( HR_Data5[[#This Row],[Age]]&lt;=33, "35-44",IF( HR_Data5[[#This Row],[Age]]&lt;=54,"45-54", "55+"))))</f>
        <v>25-34</v>
      </c>
      <c r="O2" t="str">
        <f>IF( HR_Data5[[#This Row],[Salary]]&lt;50000,"Low",IF( HR_Data5[[#This Row],[Salary]]&lt;=70000,"medium","High"))</f>
        <v>medium</v>
      </c>
      <c r="P2" t="str">
        <f>IF( HR_Data5[[#This Row],[JobSatisfaction]]&lt;=2,"Low",IF( HR_Data5[[#This Row],[JobSatisfaction]]=3,"Medium","High"))</f>
        <v>Medium</v>
      </c>
    </row>
    <row r="3" spans="1:16" x14ac:dyDescent="0.25">
      <c r="A3" s="7">
        <v>2</v>
      </c>
      <c r="B3" s="2" t="s">
        <v>61</v>
      </c>
      <c r="C3" s="2" t="s">
        <v>62</v>
      </c>
      <c r="D3" s="2">
        <v>29</v>
      </c>
      <c r="E3" s="2" t="s">
        <v>63</v>
      </c>
      <c r="F3" s="2" t="s">
        <v>64</v>
      </c>
      <c r="G3" s="2" t="s">
        <v>65</v>
      </c>
      <c r="H3" s="2" t="s">
        <v>66</v>
      </c>
      <c r="I3" s="2" t="s">
        <v>67</v>
      </c>
      <c r="J3" s="3">
        <v>72000</v>
      </c>
      <c r="K3" s="6">
        <v>4</v>
      </c>
      <c r="L3" s="8" t="s">
        <v>68</v>
      </c>
      <c r="M3" s="4">
        <f t="shared" ref="M3:M41" si="0">IF(L5="Yes",1,0)</f>
        <v>0</v>
      </c>
      <c r="N3" t="str">
        <f>IF( HR_Data5[[#This Row],[Age]]&lt;25, "Under 25",IF( HR_Data5[[#This Row],[Age]]&lt;=34, "25-34",IF( HR_Data5[[#This Row],[Age]]&lt;=33, "35-44",IF( HR_Data5[[#This Row],[Age]]&lt;=54,"45-54", "55+"))))</f>
        <v>25-34</v>
      </c>
      <c r="O3" t="str">
        <f>IF( HR_Data5[[#This Row],[Salary]]&lt;50000,"Low",IF( HR_Data5[[#This Row],[Salary]]&lt;=70000,"medium","High"))</f>
        <v>High</v>
      </c>
      <c r="P3" t="str">
        <f>IF( HR_Data5[[#This Row],[JobSatisfaction]]&lt;=2,"Low",IF( HR_Data5[[#This Row],[JobSatisfaction]]=3,"Medium","High"))</f>
        <v>High</v>
      </c>
    </row>
    <row r="4" spans="1:16" x14ac:dyDescent="0.25">
      <c r="A4" s="7">
        <v>3</v>
      </c>
      <c r="B4" s="2" t="s">
        <v>69</v>
      </c>
      <c r="C4" s="2" t="s">
        <v>54</v>
      </c>
      <c r="D4" s="2">
        <v>41</v>
      </c>
      <c r="E4" s="2" t="s">
        <v>70</v>
      </c>
      <c r="F4" s="2" t="s">
        <v>71</v>
      </c>
      <c r="G4" s="2" t="s">
        <v>65</v>
      </c>
      <c r="H4" s="2" t="s">
        <v>72</v>
      </c>
      <c r="I4" s="2" t="s">
        <v>59</v>
      </c>
      <c r="J4" s="3">
        <v>68000</v>
      </c>
      <c r="K4" s="6">
        <v>2</v>
      </c>
      <c r="L4" s="8" t="s">
        <v>60</v>
      </c>
      <c r="M4" s="4">
        <f t="shared" si="0"/>
        <v>1</v>
      </c>
      <c r="N4" t="str">
        <f>IF( HR_Data5[[#This Row],[Age]]&lt;25, "Under 25",IF( HR_Data5[[#This Row],[Age]]&lt;=34, "25-34",IF( HR_Data5[[#This Row],[Age]]&lt;=33, "35-44",IF( HR_Data5[[#This Row],[Age]]&lt;=54,"45-54", "55+"))))</f>
        <v>45-54</v>
      </c>
      <c r="O4" t="str">
        <f>IF( HR_Data5[[#This Row],[Salary]]&lt;50000,"Low",IF( HR_Data5[[#This Row],[Salary]]&lt;=70000,"medium","High"))</f>
        <v>medium</v>
      </c>
      <c r="P4" t="str">
        <f>IF( HR_Data5[[#This Row],[JobSatisfaction]]&lt;=2,"Low",IF( HR_Data5[[#This Row],[JobSatisfaction]]=3,"Medium","High"))</f>
        <v>Low</v>
      </c>
    </row>
    <row r="5" spans="1:16" x14ac:dyDescent="0.25">
      <c r="A5" s="7">
        <v>4</v>
      </c>
      <c r="B5" s="2" t="s">
        <v>73</v>
      </c>
      <c r="C5" s="2" t="s">
        <v>62</v>
      </c>
      <c r="D5" s="2">
        <v>36</v>
      </c>
      <c r="E5" s="2" t="s">
        <v>55</v>
      </c>
      <c r="F5" s="2" t="s">
        <v>74</v>
      </c>
      <c r="G5" s="2" t="s">
        <v>57</v>
      </c>
      <c r="H5" s="2" t="s">
        <v>58</v>
      </c>
      <c r="I5" s="2" t="s">
        <v>75</v>
      </c>
      <c r="J5" s="3">
        <v>52000</v>
      </c>
      <c r="K5" s="6">
        <v>3</v>
      </c>
      <c r="L5" s="8" t="s">
        <v>68</v>
      </c>
      <c r="M5" s="4">
        <f t="shared" si="0"/>
        <v>0</v>
      </c>
      <c r="N5" t="str">
        <f>IF( HR_Data5[[#This Row],[Age]]&lt;25, "Under 25",IF( HR_Data5[[#This Row],[Age]]&lt;=34, "25-34",IF( HR_Data5[[#This Row],[Age]]&lt;=33, "35-44",IF( HR_Data5[[#This Row],[Age]]&lt;=54,"45-54", "55+"))))</f>
        <v>45-54</v>
      </c>
      <c r="O5" t="str">
        <f>IF( HR_Data5[[#This Row],[Salary]]&lt;50000,"Low",IF( HR_Data5[[#This Row],[Salary]]&lt;=70000,"medium","High"))</f>
        <v>medium</v>
      </c>
      <c r="P5" t="str">
        <f>IF( HR_Data5[[#This Row],[JobSatisfaction]]&lt;=2,"Low",IF( HR_Data5[[#This Row],[JobSatisfaction]]=3,"Medium","High"))</f>
        <v>Medium</v>
      </c>
    </row>
    <row r="6" spans="1:16" x14ac:dyDescent="0.25">
      <c r="A6" s="7">
        <v>5</v>
      </c>
      <c r="B6" s="2" t="s">
        <v>76</v>
      </c>
      <c r="C6" s="2" t="s">
        <v>54</v>
      </c>
      <c r="D6" s="2">
        <v>45</v>
      </c>
      <c r="E6" s="2" t="s">
        <v>63</v>
      </c>
      <c r="F6" s="2" t="s">
        <v>77</v>
      </c>
      <c r="G6" s="2" t="s">
        <v>78</v>
      </c>
      <c r="H6" s="2" t="s">
        <v>79</v>
      </c>
      <c r="I6" s="2" t="s">
        <v>59</v>
      </c>
      <c r="J6" s="3">
        <v>48000</v>
      </c>
      <c r="K6" s="6">
        <v>2</v>
      </c>
      <c r="L6" s="8" t="s">
        <v>60</v>
      </c>
      <c r="M6" s="4">
        <f t="shared" si="0"/>
        <v>1</v>
      </c>
      <c r="N6" t="str">
        <f>IF( HR_Data5[[#This Row],[Age]]&lt;25, "Under 25",IF( HR_Data5[[#This Row],[Age]]&lt;=34, "25-34",IF( HR_Data5[[#This Row],[Age]]&lt;=33, "35-44",IF( HR_Data5[[#This Row],[Age]]&lt;=54,"45-54", "55+"))))</f>
        <v>45-54</v>
      </c>
      <c r="O6" t="str">
        <f>IF( HR_Data5[[#This Row],[Salary]]&lt;50000,"Low",IF( HR_Data5[[#This Row],[Salary]]&lt;=70000,"medium","High"))</f>
        <v>Low</v>
      </c>
      <c r="P6" t="str">
        <f>IF( HR_Data5[[#This Row],[JobSatisfaction]]&lt;=2,"Low",IF( HR_Data5[[#This Row],[JobSatisfaction]]=3,"Medium","High"))</f>
        <v>Low</v>
      </c>
    </row>
    <row r="7" spans="1:16" x14ac:dyDescent="0.25">
      <c r="A7" s="7">
        <v>6</v>
      </c>
      <c r="B7" s="2" t="s">
        <v>80</v>
      </c>
      <c r="C7" s="2" t="s">
        <v>62</v>
      </c>
      <c r="D7" s="2">
        <v>31</v>
      </c>
      <c r="E7" s="2" t="s">
        <v>70</v>
      </c>
      <c r="F7" s="2" t="s">
        <v>81</v>
      </c>
      <c r="G7" s="2" t="s">
        <v>57</v>
      </c>
      <c r="H7" s="2" t="s">
        <v>72</v>
      </c>
      <c r="I7" s="2" t="s">
        <v>67</v>
      </c>
      <c r="J7" s="3">
        <v>55000</v>
      </c>
      <c r="K7" s="6">
        <v>4</v>
      </c>
      <c r="L7" s="8" t="s">
        <v>68</v>
      </c>
      <c r="M7" s="4">
        <f t="shared" si="0"/>
        <v>0</v>
      </c>
      <c r="N7" t="str">
        <f>IF( HR_Data5[[#This Row],[Age]]&lt;25, "Under 25",IF( HR_Data5[[#This Row],[Age]]&lt;=34, "25-34",IF( HR_Data5[[#This Row],[Age]]&lt;=33, "35-44",IF( HR_Data5[[#This Row],[Age]]&lt;=54,"45-54", "55+"))))</f>
        <v>25-34</v>
      </c>
      <c r="O7" t="str">
        <f>IF( HR_Data5[[#This Row],[Salary]]&lt;50000,"Low",IF( HR_Data5[[#This Row],[Salary]]&lt;=70000,"medium","High"))</f>
        <v>medium</v>
      </c>
      <c r="P7" t="str">
        <f>IF( HR_Data5[[#This Row],[JobSatisfaction]]&lt;=2,"Low",IF( HR_Data5[[#This Row],[JobSatisfaction]]=3,"Medium","High"))</f>
        <v>High</v>
      </c>
    </row>
    <row r="8" spans="1:16" x14ac:dyDescent="0.25">
      <c r="A8" s="7">
        <v>7</v>
      </c>
      <c r="B8" s="2" t="s">
        <v>82</v>
      </c>
      <c r="C8" s="2" t="s">
        <v>54</v>
      </c>
      <c r="D8" s="2">
        <v>28</v>
      </c>
      <c r="E8" s="2" t="s">
        <v>55</v>
      </c>
      <c r="F8" s="2" t="s">
        <v>56</v>
      </c>
      <c r="G8" s="2" t="s">
        <v>57</v>
      </c>
      <c r="H8" s="2" t="s">
        <v>58</v>
      </c>
      <c r="I8" s="2" t="s">
        <v>67</v>
      </c>
      <c r="J8" s="3">
        <v>58000</v>
      </c>
      <c r="K8" s="6">
        <v>3</v>
      </c>
      <c r="L8" s="8" t="s">
        <v>60</v>
      </c>
      <c r="M8" s="4">
        <f t="shared" si="0"/>
        <v>1</v>
      </c>
      <c r="N8" t="str">
        <f>IF( HR_Data5[[#This Row],[Age]]&lt;25, "Under 25",IF( HR_Data5[[#This Row],[Age]]&lt;=34, "25-34",IF( HR_Data5[[#This Row],[Age]]&lt;=33, "35-44",IF( HR_Data5[[#This Row],[Age]]&lt;=54,"45-54", "55+"))))</f>
        <v>25-34</v>
      </c>
      <c r="O8" t="str">
        <f>IF( HR_Data5[[#This Row],[Salary]]&lt;50000,"Low",IF( HR_Data5[[#This Row],[Salary]]&lt;=70000,"medium","High"))</f>
        <v>medium</v>
      </c>
      <c r="P8" t="str">
        <f>IF( HR_Data5[[#This Row],[JobSatisfaction]]&lt;=2,"Low",IF( HR_Data5[[#This Row],[JobSatisfaction]]=3,"Medium","High"))</f>
        <v>Medium</v>
      </c>
    </row>
    <row r="9" spans="1:16" x14ac:dyDescent="0.25">
      <c r="A9" s="7">
        <v>8</v>
      </c>
      <c r="B9" s="2" t="s">
        <v>83</v>
      </c>
      <c r="C9" s="2" t="s">
        <v>62</v>
      </c>
      <c r="D9" s="2">
        <v>38</v>
      </c>
      <c r="E9" s="2" t="s">
        <v>63</v>
      </c>
      <c r="F9" s="2" t="s">
        <v>64</v>
      </c>
      <c r="G9" s="2" t="s">
        <v>84</v>
      </c>
      <c r="H9" s="2" t="s">
        <v>66</v>
      </c>
      <c r="I9" s="2" t="s">
        <v>59</v>
      </c>
      <c r="J9" s="3">
        <v>90000</v>
      </c>
      <c r="K9" s="6">
        <v>4</v>
      </c>
      <c r="L9" s="8" t="s">
        <v>68</v>
      </c>
      <c r="M9" s="4">
        <f t="shared" si="0"/>
        <v>0</v>
      </c>
      <c r="N9" t="str">
        <f>IF( HR_Data5[[#This Row],[Age]]&lt;25, "Under 25",IF( HR_Data5[[#This Row],[Age]]&lt;=34, "25-34",IF( HR_Data5[[#This Row],[Age]]&lt;=33, "35-44",IF( HR_Data5[[#This Row],[Age]]&lt;=54,"45-54", "55+"))))</f>
        <v>45-54</v>
      </c>
      <c r="O9" t="str">
        <f>IF( HR_Data5[[#This Row],[Salary]]&lt;50000,"Low",IF( HR_Data5[[#This Row],[Salary]]&lt;=70000,"medium","High"))</f>
        <v>High</v>
      </c>
      <c r="P9" t="str">
        <f>IF( HR_Data5[[#This Row],[JobSatisfaction]]&lt;=2,"Low",IF( HR_Data5[[#This Row],[JobSatisfaction]]=3,"Medium","High"))</f>
        <v>High</v>
      </c>
    </row>
    <row r="10" spans="1:16" x14ac:dyDescent="0.25">
      <c r="A10" s="7">
        <v>9</v>
      </c>
      <c r="B10" s="2" t="s">
        <v>85</v>
      </c>
      <c r="C10" s="2" t="s">
        <v>54</v>
      </c>
      <c r="D10" s="2">
        <v>50</v>
      </c>
      <c r="E10" s="2" t="s">
        <v>70</v>
      </c>
      <c r="F10" s="2" t="s">
        <v>71</v>
      </c>
      <c r="G10" s="2" t="s">
        <v>65</v>
      </c>
      <c r="H10" s="2" t="s">
        <v>72</v>
      </c>
      <c r="I10" s="2" t="s">
        <v>59</v>
      </c>
      <c r="J10" s="3">
        <v>75000</v>
      </c>
      <c r="K10" s="6">
        <v>2</v>
      </c>
      <c r="L10" s="8" t="s">
        <v>60</v>
      </c>
      <c r="M10" s="4">
        <f t="shared" si="0"/>
        <v>1</v>
      </c>
      <c r="N10" t="str">
        <f>IF( HR_Data5[[#This Row],[Age]]&lt;25, "Under 25",IF( HR_Data5[[#This Row],[Age]]&lt;=34, "25-34",IF( HR_Data5[[#This Row],[Age]]&lt;=33, "35-44",IF( HR_Data5[[#This Row],[Age]]&lt;=54,"45-54", "55+"))))</f>
        <v>45-54</v>
      </c>
      <c r="O10" t="str">
        <f>IF( HR_Data5[[#This Row],[Salary]]&lt;50000,"Low",IF( HR_Data5[[#This Row],[Salary]]&lt;=70000,"medium","High"))</f>
        <v>High</v>
      </c>
      <c r="P10" t="str">
        <f>IF( HR_Data5[[#This Row],[JobSatisfaction]]&lt;=2,"Low",IF( HR_Data5[[#This Row],[JobSatisfaction]]=3,"Medium","High"))</f>
        <v>Low</v>
      </c>
    </row>
    <row r="11" spans="1:16" x14ac:dyDescent="0.25">
      <c r="A11" s="7">
        <v>10</v>
      </c>
      <c r="B11" s="2" t="s">
        <v>86</v>
      </c>
      <c r="C11" s="2" t="s">
        <v>62</v>
      </c>
      <c r="D11" s="2">
        <v>27</v>
      </c>
      <c r="E11" s="2" t="s">
        <v>55</v>
      </c>
      <c r="F11" s="2" t="s">
        <v>74</v>
      </c>
      <c r="G11" s="2" t="s">
        <v>57</v>
      </c>
      <c r="H11" s="2" t="s">
        <v>58</v>
      </c>
      <c r="I11" s="2" t="s">
        <v>67</v>
      </c>
      <c r="J11" s="3">
        <v>50000</v>
      </c>
      <c r="K11" s="6">
        <v>3</v>
      </c>
      <c r="L11" s="8" t="s">
        <v>68</v>
      </c>
      <c r="M11" s="4">
        <f t="shared" si="0"/>
        <v>0</v>
      </c>
      <c r="N11" t="str">
        <f>IF( HR_Data5[[#This Row],[Age]]&lt;25, "Under 25",IF( HR_Data5[[#This Row],[Age]]&lt;=34, "25-34",IF( HR_Data5[[#This Row],[Age]]&lt;=33, "35-44",IF( HR_Data5[[#This Row],[Age]]&lt;=54,"45-54", "55+"))))</f>
        <v>25-34</v>
      </c>
      <c r="O11" t="str">
        <f>IF( HR_Data5[[#This Row],[Salary]]&lt;50000,"Low",IF( HR_Data5[[#This Row],[Salary]]&lt;=70000,"medium","High"))</f>
        <v>medium</v>
      </c>
      <c r="P11" t="str">
        <f>IF( HR_Data5[[#This Row],[JobSatisfaction]]&lt;=2,"Low",IF( HR_Data5[[#This Row],[JobSatisfaction]]=3,"Medium","High"))</f>
        <v>Medium</v>
      </c>
    </row>
    <row r="12" spans="1:16" x14ac:dyDescent="0.25">
      <c r="A12" s="7">
        <v>11</v>
      </c>
      <c r="B12" s="2" t="s">
        <v>87</v>
      </c>
      <c r="C12" s="2" t="s">
        <v>54</v>
      </c>
      <c r="D12" s="2">
        <v>33</v>
      </c>
      <c r="E12" s="2" t="s">
        <v>63</v>
      </c>
      <c r="F12" s="2" t="s">
        <v>64</v>
      </c>
      <c r="G12" s="2" t="s">
        <v>65</v>
      </c>
      <c r="H12" s="2" t="s">
        <v>66</v>
      </c>
      <c r="I12" s="2" t="s">
        <v>59</v>
      </c>
      <c r="J12" s="3">
        <v>71000</v>
      </c>
      <c r="K12" s="6">
        <v>3</v>
      </c>
      <c r="L12" s="8" t="s">
        <v>60</v>
      </c>
      <c r="M12" s="4">
        <f t="shared" si="0"/>
        <v>0</v>
      </c>
      <c r="N12" t="str">
        <f>IF( HR_Data5[[#This Row],[Age]]&lt;25, "Under 25",IF( HR_Data5[[#This Row],[Age]]&lt;=34, "25-34",IF( HR_Data5[[#This Row],[Age]]&lt;=33, "35-44",IF( HR_Data5[[#This Row],[Age]]&lt;=54,"45-54", "55+"))))</f>
        <v>25-34</v>
      </c>
      <c r="O12" t="str">
        <f>IF( HR_Data5[[#This Row],[Salary]]&lt;50000,"Low",IF( HR_Data5[[#This Row],[Salary]]&lt;=70000,"medium","High"))</f>
        <v>High</v>
      </c>
      <c r="P12" t="str">
        <f>IF( HR_Data5[[#This Row],[JobSatisfaction]]&lt;=2,"Low",IF( HR_Data5[[#This Row],[JobSatisfaction]]=3,"Medium","High"))</f>
        <v>Medium</v>
      </c>
    </row>
    <row r="13" spans="1:16" x14ac:dyDescent="0.25">
      <c r="A13" s="7">
        <v>12</v>
      </c>
      <c r="B13" s="2" t="s">
        <v>88</v>
      </c>
      <c r="C13" s="2" t="s">
        <v>54</v>
      </c>
      <c r="D13" s="2">
        <v>44</v>
      </c>
      <c r="E13" s="2" t="s">
        <v>63</v>
      </c>
      <c r="F13" s="2" t="s">
        <v>77</v>
      </c>
      <c r="G13" s="2" t="s">
        <v>78</v>
      </c>
      <c r="H13" s="2" t="s">
        <v>79</v>
      </c>
      <c r="I13" s="2" t="s">
        <v>59</v>
      </c>
      <c r="J13" s="3">
        <v>47000</v>
      </c>
      <c r="K13" s="6">
        <v>2</v>
      </c>
      <c r="L13" s="8" t="s">
        <v>68</v>
      </c>
      <c r="M13" s="4">
        <f t="shared" si="0"/>
        <v>1</v>
      </c>
      <c r="N13" t="str">
        <f>IF( HR_Data5[[#This Row],[Age]]&lt;25, "Under 25",IF( HR_Data5[[#This Row],[Age]]&lt;=34, "25-34",IF( HR_Data5[[#This Row],[Age]]&lt;=33, "35-44",IF( HR_Data5[[#This Row],[Age]]&lt;=54,"45-54", "55+"))))</f>
        <v>45-54</v>
      </c>
      <c r="O13" t="str">
        <f>IF( HR_Data5[[#This Row],[Salary]]&lt;50000,"Low",IF( HR_Data5[[#This Row],[Salary]]&lt;=70000,"medium","High"))</f>
        <v>Low</v>
      </c>
      <c r="P13" t="str">
        <f>IF( HR_Data5[[#This Row],[JobSatisfaction]]&lt;=2,"Low",IF( HR_Data5[[#This Row],[JobSatisfaction]]=3,"Medium","High"))</f>
        <v>Low</v>
      </c>
    </row>
    <row r="14" spans="1:16" x14ac:dyDescent="0.25">
      <c r="A14" s="7">
        <v>13</v>
      </c>
      <c r="B14" s="2" t="s">
        <v>89</v>
      </c>
      <c r="C14" s="2" t="s">
        <v>54</v>
      </c>
      <c r="D14" s="2">
        <v>30</v>
      </c>
      <c r="E14" s="2" t="s">
        <v>55</v>
      </c>
      <c r="F14" s="2" t="s">
        <v>56</v>
      </c>
      <c r="G14" s="2" t="s">
        <v>57</v>
      </c>
      <c r="H14" s="2" t="s">
        <v>58</v>
      </c>
      <c r="I14" s="2" t="s">
        <v>67</v>
      </c>
      <c r="J14" s="3">
        <v>62000</v>
      </c>
      <c r="K14" s="6">
        <v>4</v>
      </c>
      <c r="L14" s="8" t="s">
        <v>68</v>
      </c>
      <c r="M14" s="4">
        <f t="shared" si="0"/>
        <v>1</v>
      </c>
      <c r="N14" t="str">
        <f>IF( HR_Data5[[#This Row],[Age]]&lt;25, "Under 25",IF( HR_Data5[[#This Row],[Age]]&lt;=34, "25-34",IF( HR_Data5[[#This Row],[Age]]&lt;=33, "35-44",IF( HR_Data5[[#This Row],[Age]]&lt;=54,"45-54", "55+"))))</f>
        <v>25-34</v>
      </c>
      <c r="O14" t="str">
        <f>IF( HR_Data5[[#This Row],[Salary]]&lt;50000,"Low",IF( HR_Data5[[#This Row],[Salary]]&lt;=70000,"medium","High"))</f>
        <v>medium</v>
      </c>
      <c r="P14" t="str">
        <f>IF( HR_Data5[[#This Row],[JobSatisfaction]]&lt;=2,"Low",IF( HR_Data5[[#This Row],[JobSatisfaction]]=3,"Medium","High"))</f>
        <v>High</v>
      </c>
    </row>
    <row r="15" spans="1:16" x14ac:dyDescent="0.25">
      <c r="A15" s="7">
        <v>14</v>
      </c>
      <c r="B15" s="2" t="s">
        <v>90</v>
      </c>
      <c r="C15" s="2" t="s">
        <v>62</v>
      </c>
      <c r="D15" s="2">
        <v>26</v>
      </c>
      <c r="E15" s="2" t="s">
        <v>70</v>
      </c>
      <c r="F15" s="2" t="s">
        <v>81</v>
      </c>
      <c r="G15" s="2" t="s">
        <v>57</v>
      </c>
      <c r="H15" s="2" t="s">
        <v>72</v>
      </c>
      <c r="I15" s="2" t="s">
        <v>67</v>
      </c>
      <c r="J15" s="3">
        <v>54000</v>
      </c>
      <c r="K15" s="6">
        <v>3</v>
      </c>
      <c r="L15" s="8" t="s">
        <v>60</v>
      </c>
      <c r="M15" s="4">
        <f t="shared" si="0"/>
        <v>0</v>
      </c>
      <c r="N15" t="str">
        <f>IF( HR_Data5[[#This Row],[Age]]&lt;25, "Under 25",IF( HR_Data5[[#This Row],[Age]]&lt;=34, "25-34",IF( HR_Data5[[#This Row],[Age]]&lt;=33, "35-44",IF( HR_Data5[[#This Row],[Age]]&lt;=54,"45-54", "55+"))))</f>
        <v>25-34</v>
      </c>
      <c r="O15" t="str">
        <f>IF( HR_Data5[[#This Row],[Salary]]&lt;50000,"Low",IF( HR_Data5[[#This Row],[Salary]]&lt;=70000,"medium","High"))</f>
        <v>medium</v>
      </c>
      <c r="P15" t="str">
        <f>IF( HR_Data5[[#This Row],[JobSatisfaction]]&lt;=2,"Low",IF( HR_Data5[[#This Row],[JobSatisfaction]]=3,"Medium","High"))</f>
        <v>Medium</v>
      </c>
    </row>
    <row r="16" spans="1:16" x14ac:dyDescent="0.25">
      <c r="A16" s="7">
        <v>15</v>
      </c>
      <c r="B16" s="2" t="s">
        <v>91</v>
      </c>
      <c r="C16" s="2" t="s">
        <v>62</v>
      </c>
      <c r="D16" s="2">
        <v>39</v>
      </c>
      <c r="E16" s="2" t="s">
        <v>55</v>
      </c>
      <c r="F16" s="2" t="s">
        <v>56</v>
      </c>
      <c r="G16" s="2" t="s">
        <v>65</v>
      </c>
      <c r="H16" s="2" t="s">
        <v>58</v>
      </c>
      <c r="I16" s="2" t="s">
        <v>59</v>
      </c>
      <c r="J16" s="3">
        <v>65000</v>
      </c>
      <c r="K16" s="6">
        <v>2</v>
      </c>
      <c r="L16" s="8" t="s">
        <v>60</v>
      </c>
      <c r="M16" s="4">
        <f t="shared" si="0"/>
        <v>1</v>
      </c>
      <c r="N16" t="str">
        <f>IF( HR_Data5[[#This Row],[Age]]&lt;25, "Under 25",IF( HR_Data5[[#This Row],[Age]]&lt;=34, "25-34",IF( HR_Data5[[#This Row],[Age]]&lt;=33, "35-44",IF( HR_Data5[[#This Row],[Age]]&lt;=54,"45-54", "55+"))))</f>
        <v>45-54</v>
      </c>
      <c r="O16" t="str">
        <f>IF( HR_Data5[[#This Row],[Salary]]&lt;50000,"Low",IF( HR_Data5[[#This Row],[Salary]]&lt;=70000,"medium","High"))</f>
        <v>medium</v>
      </c>
      <c r="P16" t="str">
        <f>IF( HR_Data5[[#This Row],[JobSatisfaction]]&lt;=2,"Low",IF( HR_Data5[[#This Row],[JobSatisfaction]]=3,"Medium","High"))</f>
        <v>Low</v>
      </c>
    </row>
    <row r="17" spans="1:16" x14ac:dyDescent="0.25">
      <c r="A17" s="7">
        <v>16</v>
      </c>
      <c r="B17" s="2" t="s">
        <v>92</v>
      </c>
      <c r="C17" s="2" t="s">
        <v>54</v>
      </c>
      <c r="D17" s="2">
        <v>35</v>
      </c>
      <c r="E17" s="2" t="s">
        <v>63</v>
      </c>
      <c r="F17" s="2" t="s">
        <v>64</v>
      </c>
      <c r="G17" s="2" t="s">
        <v>65</v>
      </c>
      <c r="H17" s="2" t="s">
        <v>66</v>
      </c>
      <c r="I17" s="2" t="s">
        <v>59</v>
      </c>
      <c r="J17" s="3">
        <v>72000</v>
      </c>
      <c r="K17" s="6">
        <v>4</v>
      </c>
      <c r="L17" s="8" t="s">
        <v>68</v>
      </c>
      <c r="M17" s="4">
        <f t="shared" si="0"/>
        <v>0</v>
      </c>
      <c r="N17" s="1" t="str">
        <f>IF( HR_Data5[[#This Row],[Age]]&lt;25, "Under 25",IF( HR_Data5[[#This Row],[Age]]&lt;=34, "25-34",IF( HR_Data5[[#This Row],[Age]]&lt;=33, "35-44",IF( HR_Data5[[#This Row],[Age]]&lt;=54,"45-54", "55+"))))</f>
        <v>45-54</v>
      </c>
      <c r="O17" t="str">
        <f>IF( HR_Data5[[#This Row],[Salary]]&lt;50000,"Low",IF( HR_Data5[[#This Row],[Salary]]&lt;=70000,"medium","High"))</f>
        <v>High</v>
      </c>
      <c r="P17" t="str">
        <f>IF( HR_Data5[[#This Row],[JobSatisfaction]]&lt;=2,"Low",IF( HR_Data5[[#This Row],[JobSatisfaction]]=3,"Medium","High"))</f>
        <v>High</v>
      </c>
    </row>
    <row r="18" spans="1:16" x14ac:dyDescent="0.25">
      <c r="A18" s="7">
        <v>17</v>
      </c>
      <c r="B18" s="2" t="s">
        <v>93</v>
      </c>
      <c r="C18" s="2" t="s">
        <v>54</v>
      </c>
      <c r="D18" s="2">
        <v>32</v>
      </c>
      <c r="E18" s="2" t="s">
        <v>55</v>
      </c>
      <c r="F18" s="2" t="s">
        <v>74</v>
      </c>
      <c r="G18" s="2" t="s">
        <v>57</v>
      </c>
      <c r="H18" s="2" t="s">
        <v>58</v>
      </c>
      <c r="I18" s="2" t="s">
        <v>67</v>
      </c>
      <c r="J18" s="3">
        <v>51000</v>
      </c>
      <c r="K18" s="6">
        <v>3</v>
      </c>
      <c r="L18" s="8" t="s">
        <v>60</v>
      </c>
      <c r="M18" s="4">
        <f t="shared" si="0"/>
        <v>0</v>
      </c>
      <c r="N18" t="str">
        <f>IF( HR_Data5[[#This Row],[Age]]&lt;25, "Under 25",IF( HR_Data5[[#This Row],[Age]]&lt;=34, "25-34",IF( HR_Data5[[#This Row],[Age]]&lt;=33, "35-44",IF( HR_Data5[[#This Row],[Age]]&lt;=54,"45-54", "55+"))))</f>
        <v>25-34</v>
      </c>
      <c r="O18" t="str">
        <f>IF( HR_Data5[[#This Row],[Salary]]&lt;50000,"Low",IF( HR_Data5[[#This Row],[Salary]]&lt;=70000,"medium","High"))</f>
        <v>medium</v>
      </c>
      <c r="P18" t="str">
        <f>IF( HR_Data5[[#This Row],[JobSatisfaction]]&lt;=2,"Low",IF( HR_Data5[[#This Row],[JobSatisfaction]]=3,"Medium","High"))</f>
        <v>Medium</v>
      </c>
    </row>
    <row r="19" spans="1:16" x14ac:dyDescent="0.25">
      <c r="A19" s="7">
        <v>18</v>
      </c>
      <c r="B19" s="2" t="s">
        <v>94</v>
      </c>
      <c r="C19" s="2" t="s">
        <v>54</v>
      </c>
      <c r="D19" s="2">
        <v>29</v>
      </c>
      <c r="E19" s="2" t="s">
        <v>63</v>
      </c>
      <c r="F19" s="2" t="s">
        <v>77</v>
      </c>
      <c r="G19" s="2" t="s">
        <v>78</v>
      </c>
      <c r="H19" s="2" t="s">
        <v>79</v>
      </c>
      <c r="I19" s="2" t="s">
        <v>67</v>
      </c>
      <c r="J19" s="3">
        <v>46000</v>
      </c>
      <c r="K19" s="6">
        <v>2</v>
      </c>
      <c r="L19" s="8" t="s">
        <v>68</v>
      </c>
      <c r="M19" s="4">
        <f t="shared" si="0"/>
        <v>1</v>
      </c>
      <c r="N19" t="str">
        <f>IF( HR_Data5[[#This Row],[Age]]&lt;25, "Under 25",IF( HR_Data5[[#This Row],[Age]]&lt;=34, "25-34",IF( HR_Data5[[#This Row],[Age]]&lt;=33, "35-44",IF( HR_Data5[[#This Row],[Age]]&lt;=54,"45-54", "55+"))))</f>
        <v>25-34</v>
      </c>
      <c r="O19" t="str">
        <f>IF( HR_Data5[[#This Row],[Salary]]&lt;50000,"Low",IF( HR_Data5[[#This Row],[Salary]]&lt;=70000,"medium","High"))</f>
        <v>Low</v>
      </c>
      <c r="P19" t="str">
        <f>IF( HR_Data5[[#This Row],[JobSatisfaction]]&lt;=2,"Low",IF( HR_Data5[[#This Row],[JobSatisfaction]]=3,"Medium","High"))</f>
        <v>Low</v>
      </c>
    </row>
    <row r="20" spans="1:16" x14ac:dyDescent="0.25">
      <c r="A20" s="7">
        <v>19</v>
      </c>
      <c r="B20" s="2" t="s">
        <v>95</v>
      </c>
      <c r="C20" s="2" t="s">
        <v>62</v>
      </c>
      <c r="D20" s="2">
        <v>28</v>
      </c>
      <c r="E20" s="2" t="s">
        <v>70</v>
      </c>
      <c r="F20" s="2" t="s">
        <v>81</v>
      </c>
      <c r="G20" s="2" t="s">
        <v>57</v>
      </c>
      <c r="H20" s="2" t="s">
        <v>72</v>
      </c>
      <c r="I20" s="2" t="s">
        <v>67</v>
      </c>
      <c r="J20" s="3">
        <v>56000</v>
      </c>
      <c r="K20" s="6">
        <v>4</v>
      </c>
      <c r="L20" s="8" t="s">
        <v>68</v>
      </c>
      <c r="M20" s="4">
        <f t="shared" si="0"/>
        <v>1</v>
      </c>
      <c r="N20" t="str">
        <f>IF( HR_Data5[[#This Row],[Age]]&lt;25, "Under 25",IF( HR_Data5[[#This Row],[Age]]&lt;=34, "25-34",IF( HR_Data5[[#This Row],[Age]]&lt;=33, "35-44",IF( HR_Data5[[#This Row],[Age]]&lt;=54,"45-54", "55+"))))</f>
        <v>25-34</v>
      </c>
      <c r="O20" t="str">
        <f>IF( HR_Data5[[#This Row],[Salary]]&lt;50000,"Low",IF( HR_Data5[[#This Row],[Salary]]&lt;=70000,"medium","High"))</f>
        <v>medium</v>
      </c>
      <c r="P20" t="str">
        <f>IF( HR_Data5[[#This Row],[JobSatisfaction]]&lt;=2,"Low",IF( HR_Data5[[#This Row],[JobSatisfaction]]=3,"Medium","High"))</f>
        <v>High</v>
      </c>
    </row>
    <row r="21" spans="1:16" x14ac:dyDescent="0.25">
      <c r="A21" s="7">
        <v>20</v>
      </c>
      <c r="B21" s="2" t="s">
        <v>96</v>
      </c>
      <c r="C21" s="2" t="s">
        <v>54</v>
      </c>
      <c r="D21" s="2">
        <v>46</v>
      </c>
      <c r="E21" s="2" t="s">
        <v>63</v>
      </c>
      <c r="F21" s="2" t="s">
        <v>64</v>
      </c>
      <c r="G21" s="2" t="s">
        <v>84</v>
      </c>
      <c r="H21" s="2" t="s">
        <v>66</v>
      </c>
      <c r="I21" s="2" t="s">
        <v>59</v>
      </c>
      <c r="J21" s="3">
        <v>88000</v>
      </c>
      <c r="K21" s="6">
        <v>3</v>
      </c>
      <c r="L21" s="8" t="s">
        <v>60</v>
      </c>
      <c r="M21" s="4">
        <f t="shared" si="0"/>
        <v>0</v>
      </c>
      <c r="N21" t="str">
        <f>IF( HR_Data5[[#This Row],[Age]]&lt;25, "Under 25",IF( HR_Data5[[#This Row],[Age]]&lt;=34, "25-34",IF( HR_Data5[[#This Row],[Age]]&lt;=33, "35-44",IF( HR_Data5[[#This Row],[Age]]&lt;=54,"45-54", "55+"))))</f>
        <v>45-54</v>
      </c>
      <c r="O21" t="str">
        <f>IF( HR_Data5[[#This Row],[Salary]]&lt;50000,"Low",IF( HR_Data5[[#This Row],[Salary]]&lt;=70000,"medium","High"))</f>
        <v>High</v>
      </c>
      <c r="P21" t="str">
        <f>IF( HR_Data5[[#This Row],[JobSatisfaction]]&lt;=2,"Low",IF( HR_Data5[[#This Row],[JobSatisfaction]]=3,"Medium","High"))</f>
        <v>Medium</v>
      </c>
    </row>
    <row r="22" spans="1:16" x14ac:dyDescent="0.25">
      <c r="A22" s="7">
        <v>21</v>
      </c>
      <c r="B22" s="2" t="s">
        <v>97</v>
      </c>
      <c r="C22" s="2" t="s">
        <v>54</v>
      </c>
      <c r="D22" s="2">
        <v>37</v>
      </c>
      <c r="E22" s="2" t="s">
        <v>55</v>
      </c>
      <c r="F22" s="2" t="s">
        <v>56</v>
      </c>
      <c r="G22" s="2" t="s">
        <v>57</v>
      </c>
      <c r="H22" s="2" t="s">
        <v>58</v>
      </c>
      <c r="I22" s="2" t="s">
        <v>59</v>
      </c>
      <c r="J22" s="3">
        <v>64000</v>
      </c>
      <c r="K22" s="6">
        <v>2</v>
      </c>
      <c r="L22" s="8" t="s">
        <v>60</v>
      </c>
      <c r="M22" s="4">
        <f t="shared" si="0"/>
        <v>1</v>
      </c>
      <c r="N22" t="str">
        <f>IF( HR_Data5[[#This Row],[Age]]&lt;25, "Under 25",IF( HR_Data5[[#This Row],[Age]]&lt;=34, "25-34",IF( HR_Data5[[#This Row],[Age]]&lt;=33, "35-44",IF( HR_Data5[[#This Row],[Age]]&lt;=54,"45-54", "55+"))))</f>
        <v>45-54</v>
      </c>
      <c r="O22" t="str">
        <f>IF( HR_Data5[[#This Row],[Salary]]&lt;50000,"Low",IF( HR_Data5[[#This Row],[Salary]]&lt;=70000,"medium","High"))</f>
        <v>medium</v>
      </c>
      <c r="P22" t="str">
        <f>IF( HR_Data5[[#This Row],[JobSatisfaction]]&lt;=2,"Low",IF( HR_Data5[[#This Row],[JobSatisfaction]]=3,"Medium","High"))</f>
        <v>Low</v>
      </c>
    </row>
    <row r="23" spans="1:16" x14ac:dyDescent="0.25">
      <c r="A23" s="7">
        <v>22</v>
      </c>
      <c r="B23" s="2" t="s">
        <v>98</v>
      </c>
      <c r="C23" s="2" t="s">
        <v>62</v>
      </c>
      <c r="D23" s="2">
        <v>34</v>
      </c>
      <c r="E23" s="2" t="s">
        <v>70</v>
      </c>
      <c r="F23" s="2" t="s">
        <v>81</v>
      </c>
      <c r="G23" s="2" t="s">
        <v>57</v>
      </c>
      <c r="H23" s="2" t="s">
        <v>72</v>
      </c>
      <c r="I23" s="2" t="s">
        <v>59</v>
      </c>
      <c r="J23" s="3">
        <v>57000</v>
      </c>
      <c r="K23" s="6">
        <v>3</v>
      </c>
      <c r="L23" s="8" t="s">
        <v>68</v>
      </c>
      <c r="M23" s="4">
        <f t="shared" si="0"/>
        <v>0</v>
      </c>
      <c r="N23" t="str">
        <f>IF( HR_Data5[[#This Row],[Age]]&lt;25, "Under 25",IF( HR_Data5[[#This Row],[Age]]&lt;=34, "25-34",IF( HR_Data5[[#This Row],[Age]]&lt;=33, "35-44",IF( HR_Data5[[#This Row],[Age]]&lt;=54,"45-54", "55+"))))</f>
        <v>25-34</v>
      </c>
      <c r="O23" t="str">
        <f>IF( HR_Data5[[#This Row],[Salary]]&lt;50000,"Low",IF( HR_Data5[[#This Row],[Salary]]&lt;=70000,"medium","High"))</f>
        <v>medium</v>
      </c>
      <c r="P23" t="str">
        <f>IF( HR_Data5[[#This Row],[JobSatisfaction]]&lt;=2,"Low",IF( HR_Data5[[#This Row],[JobSatisfaction]]=3,"Medium","High"))</f>
        <v>Medium</v>
      </c>
    </row>
    <row r="24" spans="1:16" x14ac:dyDescent="0.25">
      <c r="A24" s="7">
        <v>23</v>
      </c>
      <c r="B24" s="2" t="s">
        <v>99</v>
      </c>
      <c r="C24" s="2" t="s">
        <v>54</v>
      </c>
      <c r="D24" s="2">
        <v>42</v>
      </c>
      <c r="E24" s="2" t="s">
        <v>63</v>
      </c>
      <c r="F24" s="2" t="s">
        <v>77</v>
      </c>
      <c r="G24" s="2" t="s">
        <v>78</v>
      </c>
      <c r="H24" s="2" t="s">
        <v>79</v>
      </c>
      <c r="I24" s="2" t="s">
        <v>59</v>
      </c>
      <c r="J24" s="3">
        <v>49000</v>
      </c>
      <c r="K24" s="6">
        <v>2</v>
      </c>
      <c r="L24" s="8" t="s">
        <v>60</v>
      </c>
      <c r="M24" s="4">
        <f t="shared" si="0"/>
        <v>1</v>
      </c>
      <c r="N24" t="str">
        <f>IF( HR_Data5[[#This Row],[Age]]&lt;25, "Under 25",IF( HR_Data5[[#This Row],[Age]]&lt;=34, "25-34",IF( HR_Data5[[#This Row],[Age]]&lt;=33, "35-44",IF( HR_Data5[[#This Row],[Age]]&lt;=54,"45-54", "55+"))))</f>
        <v>45-54</v>
      </c>
      <c r="O24" t="str">
        <f>IF( HR_Data5[[#This Row],[Salary]]&lt;50000,"Low",IF( HR_Data5[[#This Row],[Salary]]&lt;=70000,"medium","High"))</f>
        <v>Low</v>
      </c>
      <c r="P24" t="str">
        <f>IF( HR_Data5[[#This Row],[JobSatisfaction]]&lt;=2,"Low",IF( HR_Data5[[#This Row],[JobSatisfaction]]=3,"Medium","High"))</f>
        <v>Low</v>
      </c>
    </row>
    <row r="25" spans="1:16" x14ac:dyDescent="0.25">
      <c r="A25" s="7">
        <v>24</v>
      </c>
      <c r="B25" s="2" t="s">
        <v>100</v>
      </c>
      <c r="C25" s="2" t="s">
        <v>62</v>
      </c>
      <c r="D25" s="2">
        <v>31</v>
      </c>
      <c r="E25" s="2" t="s">
        <v>55</v>
      </c>
      <c r="F25" s="2" t="s">
        <v>74</v>
      </c>
      <c r="G25" s="2" t="s">
        <v>57</v>
      </c>
      <c r="H25" s="2" t="s">
        <v>58</v>
      </c>
      <c r="I25" s="2" t="s">
        <v>67</v>
      </c>
      <c r="J25" s="3">
        <v>53000</v>
      </c>
      <c r="K25" s="6">
        <v>4</v>
      </c>
      <c r="L25" s="8" t="s">
        <v>68</v>
      </c>
      <c r="M25" s="4">
        <f t="shared" si="0"/>
        <v>0</v>
      </c>
      <c r="N25" t="str">
        <f>IF( HR_Data5[[#This Row],[Age]]&lt;25, "Under 25",IF( HR_Data5[[#This Row],[Age]]&lt;=34, "25-34",IF( HR_Data5[[#This Row],[Age]]&lt;=33, "35-44",IF( HR_Data5[[#This Row],[Age]]&lt;=54,"45-54", "55+"))))</f>
        <v>25-34</v>
      </c>
      <c r="O25" t="str">
        <f>IF( HR_Data5[[#This Row],[Salary]]&lt;50000,"Low",IF( HR_Data5[[#This Row],[Salary]]&lt;=70000,"medium","High"))</f>
        <v>medium</v>
      </c>
      <c r="P25" t="str">
        <f>IF( HR_Data5[[#This Row],[JobSatisfaction]]&lt;=2,"Low",IF( HR_Data5[[#This Row],[JobSatisfaction]]=3,"Medium","High"))</f>
        <v>High</v>
      </c>
    </row>
    <row r="26" spans="1:16" x14ac:dyDescent="0.25">
      <c r="A26" s="7">
        <v>25</v>
      </c>
      <c r="B26" s="2" t="s">
        <v>101</v>
      </c>
      <c r="C26" s="2" t="s">
        <v>54</v>
      </c>
      <c r="D26" s="2">
        <v>36</v>
      </c>
      <c r="E26" s="2" t="s">
        <v>55</v>
      </c>
      <c r="F26" s="2" t="s">
        <v>56</v>
      </c>
      <c r="G26" s="2" t="s">
        <v>65</v>
      </c>
      <c r="H26" s="2" t="s">
        <v>58</v>
      </c>
      <c r="I26" s="2" t="s">
        <v>59</v>
      </c>
      <c r="J26" s="3">
        <v>66000</v>
      </c>
      <c r="K26" s="6">
        <v>3</v>
      </c>
      <c r="L26" s="8" t="s">
        <v>60</v>
      </c>
      <c r="M26" s="4">
        <f t="shared" si="0"/>
        <v>1</v>
      </c>
      <c r="N26" t="str">
        <f>IF( HR_Data5[[#This Row],[Age]]&lt;25, "Under 25",IF( HR_Data5[[#This Row],[Age]]&lt;=34, "25-34",IF( HR_Data5[[#This Row],[Age]]&lt;=33, "35-44",IF( HR_Data5[[#This Row],[Age]]&lt;=54,"45-54", "55+"))))</f>
        <v>45-54</v>
      </c>
      <c r="O26" t="str">
        <f>IF( HR_Data5[[#This Row],[Salary]]&lt;50000,"Low",IF( HR_Data5[[#This Row],[Salary]]&lt;=70000,"medium","High"))</f>
        <v>medium</v>
      </c>
      <c r="P26" t="str">
        <f>IF( HR_Data5[[#This Row],[JobSatisfaction]]&lt;=2,"Low",IF( HR_Data5[[#This Row],[JobSatisfaction]]=3,"Medium","High"))</f>
        <v>Medium</v>
      </c>
    </row>
    <row r="27" spans="1:16" x14ac:dyDescent="0.25">
      <c r="A27" s="7">
        <v>26</v>
      </c>
      <c r="B27" s="2" t="s">
        <v>102</v>
      </c>
      <c r="C27" s="2" t="s">
        <v>62</v>
      </c>
      <c r="D27" s="2">
        <v>27</v>
      </c>
      <c r="E27" s="2" t="s">
        <v>70</v>
      </c>
      <c r="F27" s="2" t="s">
        <v>81</v>
      </c>
      <c r="G27" s="2" t="s">
        <v>57</v>
      </c>
      <c r="H27" s="2" t="s">
        <v>72</v>
      </c>
      <c r="I27" s="2" t="s">
        <v>67</v>
      </c>
      <c r="J27" s="3">
        <v>55000</v>
      </c>
      <c r="K27" s="6">
        <v>4</v>
      </c>
      <c r="L27" s="8" t="s">
        <v>68</v>
      </c>
      <c r="M27" s="4">
        <f t="shared" si="0"/>
        <v>0</v>
      </c>
      <c r="N27" t="str">
        <f>IF( HR_Data5[[#This Row],[Age]]&lt;25, "Under 25",IF( HR_Data5[[#This Row],[Age]]&lt;=34, "25-34",IF( HR_Data5[[#This Row],[Age]]&lt;=33, "35-44",IF( HR_Data5[[#This Row],[Age]]&lt;=54,"45-54", "55+"))))</f>
        <v>25-34</v>
      </c>
      <c r="O27" t="str">
        <f>IF( HR_Data5[[#This Row],[Salary]]&lt;50000,"Low",IF( HR_Data5[[#This Row],[Salary]]&lt;=70000,"medium","High"))</f>
        <v>medium</v>
      </c>
      <c r="P27" t="str">
        <f>IF( HR_Data5[[#This Row],[JobSatisfaction]]&lt;=2,"Low",IF( HR_Data5[[#This Row],[JobSatisfaction]]=3,"Medium","High"))</f>
        <v>High</v>
      </c>
    </row>
    <row r="28" spans="1:16" x14ac:dyDescent="0.25">
      <c r="A28" s="7">
        <v>27</v>
      </c>
      <c r="B28" s="2" t="s">
        <v>103</v>
      </c>
      <c r="C28" s="2" t="s">
        <v>54</v>
      </c>
      <c r="D28" s="2">
        <v>40</v>
      </c>
      <c r="E28" s="2" t="s">
        <v>63</v>
      </c>
      <c r="F28" s="2" t="s">
        <v>64</v>
      </c>
      <c r="G28" s="2" t="s">
        <v>65</v>
      </c>
      <c r="H28" s="2" t="s">
        <v>66</v>
      </c>
      <c r="I28" s="2" t="s">
        <v>59</v>
      </c>
      <c r="J28" s="3">
        <v>73000</v>
      </c>
      <c r="K28" s="6">
        <v>2</v>
      </c>
      <c r="L28" s="8" t="s">
        <v>60</v>
      </c>
      <c r="M28" s="4">
        <f t="shared" si="0"/>
        <v>1</v>
      </c>
      <c r="N28" t="str">
        <f>IF( HR_Data5[[#This Row],[Age]]&lt;25, "Under 25",IF( HR_Data5[[#This Row],[Age]]&lt;=34, "25-34",IF( HR_Data5[[#This Row],[Age]]&lt;=33, "35-44",IF( HR_Data5[[#This Row],[Age]]&lt;=54,"45-54", "55+"))))</f>
        <v>45-54</v>
      </c>
      <c r="O28" t="str">
        <f>IF( HR_Data5[[#This Row],[Salary]]&lt;50000,"Low",IF( HR_Data5[[#This Row],[Salary]]&lt;=70000,"medium","High"))</f>
        <v>High</v>
      </c>
      <c r="P28" t="str">
        <f>IF( HR_Data5[[#This Row],[JobSatisfaction]]&lt;=2,"Low",IF( HR_Data5[[#This Row],[JobSatisfaction]]=3,"Medium","High"))</f>
        <v>Low</v>
      </c>
    </row>
    <row r="29" spans="1:16" x14ac:dyDescent="0.25">
      <c r="A29" s="7">
        <v>28</v>
      </c>
      <c r="B29" s="2" t="s">
        <v>104</v>
      </c>
      <c r="C29" s="2" t="s">
        <v>62</v>
      </c>
      <c r="D29" s="2">
        <v>33</v>
      </c>
      <c r="E29" s="2" t="s">
        <v>55</v>
      </c>
      <c r="F29" s="2" t="s">
        <v>56</v>
      </c>
      <c r="G29" s="2" t="s">
        <v>57</v>
      </c>
      <c r="H29" s="2" t="s">
        <v>58</v>
      </c>
      <c r="I29" s="2" t="s">
        <v>59</v>
      </c>
      <c r="J29" s="3">
        <v>61000</v>
      </c>
      <c r="K29" s="6">
        <v>3</v>
      </c>
      <c r="L29" s="8" t="s">
        <v>68</v>
      </c>
      <c r="M29" s="4">
        <f t="shared" si="0"/>
        <v>0</v>
      </c>
      <c r="N29" t="str">
        <f>IF( HR_Data5[[#This Row],[Age]]&lt;25, "Under 25",IF( HR_Data5[[#This Row],[Age]]&lt;=34, "25-34",IF( HR_Data5[[#This Row],[Age]]&lt;=33, "35-44",IF( HR_Data5[[#This Row],[Age]]&lt;=54,"45-54", "55+"))))</f>
        <v>25-34</v>
      </c>
      <c r="O29" t="str">
        <f>IF( HR_Data5[[#This Row],[Salary]]&lt;50000,"Low",IF( HR_Data5[[#This Row],[Salary]]&lt;=70000,"medium","High"))</f>
        <v>medium</v>
      </c>
      <c r="P29" t="str">
        <f>IF( HR_Data5[[#This Row],[JobSatisfaction]]&lt;=2,"Low",IF( HR_Data5[[#This Row],[JobSatisfaction]]=3,"Medium","High"))</f>
        <v>Medium</v>
      </c>
    </row>
    <row r="30" spans="1:16" x14ac:dyDescent="0.25">
      <c r="A30" s="7">
        <v>29</v>
      </c>
      <c r="B30" s="2" t="s">
        <v>105</v>
      </c>
      <c r="C30" s="2" t="s">
        <v>54</v>
      </c>
      <c r="D30" s="2">
        <v>45</v>
      </c>
      <c r="E30" s="2" t="s">
        <v>63</v>
      </c>
      <c r="F30" s="2" t="s">
        <v>77</v>
      </c>
      <c r="G30" s="2" t="s">
        <v>78</v>
      </c>
      <c r="H30" s="2" t="s">
        <v>79</v>
      </c>
      <c r="I30" s="2" t="s">
        <v>59</v>
      </c>
      <c r="J30" s="3">
        <v>47000</v>
      </c>
      <c r="K30" s="6">
        <v>2</v>
      </c>
      <c r="L30" s="8" t="s">
        <v>60</v>
      </c>
      <c r="M30" s="4">
        <f t="shared" si="0"/>
        <v>1</v>
      </c>
      <c r="N30" t="str">
        <f>IF( HR_Data5[[#This Row],[Age]]&lt;25, "Under 25",IF( HR_Data5[[#This Row],[Age]]&lt;=34, "25-34",IF( HR_Data5[[#This Row],[Age]]&lt;=33, "35-44",IF( HR_Data5[[#This Row],[Age]]&lt;=54,"45-54", "55+"))))</f>
        <v>45-54</v>
      </c>
      <c r="O30" t="str">
        <f>IF( HR_Data5[[#This Row],[Salary]]&lt;50000,"Low",IF( HR_Data5[[#This Row],[Salary]]&lt;=70000,"medium","High"))</f>
        <v>Low</v>
      </c>
      <c r="P30" t="str">
        <f>IF( HR_Data5[[#This Row],[JobSatisfaction]]&lt;=2,"Low",IF( HR_Data5[[#This Row],[JobSatisfaction]]=3,"Medium","High"))</f>
        <v>Low</v>
      </c>
    </row>
    <row r="31" spans="1:16" x14ac:dyDescent="0.25">
      <c r="A31" s="7">
        <v>30</v>
      </c>
      <c r="B31" s="2" t="s">
        <v>106</v>
      </c>
      <c r="C31" s="2" t="s">
        <v>54</v>
      </c>
      <c r="D31" s="2">
        <v>38</v>
      </c>
      <c r="E31" s="2" t="s">
        <v>70</v>
      </c>
      <c r="F31" s="2" t="s">
        <v>71</v>
      </c>
      <c r="G31" s="2" t="s">
        <v>65</v>
      </c>
      <c r="H31" s="2" t="s">
        <v>72</v>
      </c>
      <c r="I31" s="2" t="s">
        <v>59</v>
      </c>
      <c r="J31" s="3">
        <v>70000</v>
      </c>
      <c r="K31" s="6">
        <v>3</v>
      </c>
      <c r="L31" s="8" t="s">
        <v>68</v>
      </c>
      <c r="M31" s="4">
        <f t="shared" si="0"/>
        <v>0</v>
      </c>
      <c r="N31" t="str">
        <f>IF( HR_Data5[[#This Row],[Age]]&lt;25, "Under 25",IF( HR_Data5[[#This Row],[Age]]&lt;=34, "25-34",IF( HR_Data5[[#This Row],[Age]]&lt;=33, "35-44",IF( HR_Data5[[#This Row],[Age]]&lt;=54,"45-54", "55+"))))</f>
        <v>45-54</v>
      </c>
      <c r="O31" t="str">
        <f>IF( HR_Data5[[#This Row],[Salary]]&lt;50000,"Low",IF( HR_Data5[[#This Row],[Salary]]&lt;=70000,"medium","High"))</f>
        <v>medium</v>
      </c>
      <c r="P31" t="str">
        <f>IF( HR_Data5[[#This Row],[JobSatisfaction]]&lt;=2,"Low",IF( HR_Data5[[#This Row],[JobSatisfaction]]=3,"Medium","High"))</f>
        <v>Medium</v>
      </c>
    </row>
    <row r="32" spans="1:16" x14ac:dyDescent="0.25">
      <c r="A32" s="7">
        <v>31</v>
      </c>
      <c r="B32" s="2" t="s">
        <v>107</v>
      </c>
      <c r="C32" s="2" t="s">
        <v>54</v>
      </c>
      <c r="D32" s="2">
        <v>29</v>
      </c>
      <c r="E32" s="2" t="s">
        <v>55</v>
      </c>
      <c r="F32" s="2" t="s">
        <v>56</v>
      </c>
      <c r="G32" s="2" t="s">
        <v>57</v>
      </c>
      <c r="H32" s="2" t="s">
        <v>58</v>
      </c>
      <c r="I32" s="2" t="s">
        <v>67</v>
      </c>
      <c r="J32" s="3">
        <v>59000</v>
      </c>
      <c r="K32" s="6">
        <v>3</v>
      </c>
      <c r="L32" s="8" t="s">
        <v>60</v>
      </c>
      <c r="M32" s="4">
        <f t="shared" si="0"/>
        <v>1</v>
      </c>
      <c r="N32" t="str">
        <f>IF( HR_Data5[[#This Row],[Age]]&lt;25, "Under 25",IF( HR_Data5[[#This Row],[Age]]&lt;=34, "25-34",IF( HR_Data5[[#This Row],[Age]]&lt;=33, "35-44",IF( HR_Data5[[#This Row],[Age]]&lt;=54,"45-54", "55+"))))</f>
        <v>25-34</v>
      </c>
      <c r="O32" t="str">
        <f>IF( HR_Data5[[#This Row],[Salary]]&lt;50000,"Low",IF( HR_Data5[[#This Row],[Salary]]&lt;=70000,"medium","High"))</f>
        <v>medium</v>
      </c>
      <c r="P32" t="str">
        <f>IF( HR_Data5[[#This Row],[JobSatisfaction]]&lt;=2,"Low",IF( HR_Data5[[#This Row],[JobSatisfaction]]=3,"Medium","High"))</f>
        <v>Medium</v>
      </c>
    </row>
    <row r="33" spans="1:16" x14ac:dyDescent="0.25">
      <c r="A33" s="7">
        <v>32</v>
      </c>
      <c r="B33" s="2" t="s">
        <v>108</v>
      </c>
      <c r="C33" s="2" t="s">
        <v>62</v>
      </c>
      <c r="D33" s="2">
        <v>35</v>
      </c>
      <c r="E33" s="2" t="s">
        <v>63</v>
      </c>
      <c r="F33" s="2" t="s">
        <v>64</v>
      </c>
      <c r="G33" s="2" t="s">
        <v>65</v>
      </c>
      <c r="H33" s="2" t="s">
        <v>66</v>
      </c>
      <c r="I33" s="2" t="s">
        <v>59</v>
      </c>
      <c r="J33" s="3">
        <v>75000</v>
      </c>
      <c r="K33" s="6">
        <v>4</v>
      </c>
      <c r="L33" s="8" t="s">
        <v>68</v>
      </c>
      <c r="M33" s="4">
        <f t="shared" si="0"/>
        <v>0</v>
      </c>
      <c r="N33" t="str">
        <f>IF( HR_Data5[[#This Row],[Age]]&lt;25, "Under 25",IF( HR_Data5[[#This Row],[Age]]&lt;=34, "25-34",IF( HR_Data5[[#This Row],[Age]]&lt;=33, "35-44",IF( HR_Data5[[#This Row],[Age]]&lt;=54,"45-54", "55+"))))</f>
        <v>45-54</v>
      </c>
      <c r="O33" t="str">
        <f>IF( HR_Data5[[#This Row],[Salary]]&lt;50000,"Low",IF( HR_Data5[[#This Row],[Salary]]&lt;=70000,"medium","High"))</f>
        <v>High</v>
      </c>
      <c r="P33" t="str">
        <f>IF( HR_Data5[[#This Row],[JobSatisfaction]]&lt;=2,"Low",IF( HR_Data5[[#This Row],[JobSatisfaction]]=3,"Medium","High"))</f>
        <v>High</v>
      </c>
    </row>
    <row r="34" spans="1:16" x14ac:dyDescent="0.25">
      <c r="A34" s="7">
        <v>33</v>
      </c>
      <c r="B34" s="2" t="s">
        <v>109</v>
      </c>
      <c r="C34" s="2" t="s">
        <v>54</v>
      </c>
      <c r="D34" s="2">
        <v>41</v>
      </c>
      <c r="E34" s="2" t="s">
        <v>55</v>
      </c>
      <c r="F34" s="2" t="s">
        <v>56</v>
      </c>
      <c r="G34" s="2" t="s">
        <v>65</v>
      </c>
      <c r="H34" s="2" t="s">
        <v>58</v>
      </c>
      <c r="I34" s="2" t="s">
        <v>59</v>
      </c>
      <c r="J34" s="3">
        <v>67000</v>
      </c>
      <c r="K34" s="6">
        <v>2</v>
      </c>
      <c r="L34" s="8" t="s">
        <v>60</v>
      </c>
      <c r="M34" s="4">
        <f t="shared" si="0"/>
        <v>0</v>
      </c>
      <c r="N34" t="str">
        <f>IF( HR_Data5[[#This Row],[Age]]&lt;25, "Under 25",IF( HR_Data5[[#This Row],[Age]]&lt;=34, "25-34",IF( HR_Data5[[#This Row],[Age]]&lt;=33, "35-44",IF( HR_Data5[[#This Row],[Age]]&lt;=54,"45-54", "55+"))))</f>
        <v>45-54</v>
      </c>
      <c r="O34" t="str">
        <f>IF( HR_Data5[[#This Row],[Salary]]&lt;50000,"Low",IF( HR_Data5[[#This Row],[Salary]]&lt;=70000,"medium","High"))</f>
        <v>medium</v>
      </c>
      <c r="P34" t="str">
        <f>IF( HR_Data5[[#This Row],[JobSatisfaction]]&lt;=2,"Low",IF( HR_Data5[[#This Row],[JobSatisfaction]]=3,"Medium","High"))</f>
        <v>Low</v>
      </c>
    </row>
    <row r="35" spans="1:16" x14ac:dyDescent="0.25">
      <c r="A35" s="7">
        <v>34</v>
      </c>
      <c r="B35" s="2" t="s">
        <v>110</v>
      </c>
      <c r="C35" s="2" t="s">
        <v>62</v>
      </c>
      <c r="D35" s="2">
        <v>30</v>
      </c>
      <c r="E35" s="2" t="s">
        <v>70</v>
      </c>
      <c r="F35" s="2" t="s">
        <v>81</v>
      </c>
      <c r="G35" s="2" t="s">
        <v>57</v>
      </c>
      <c r="H35" s="2" t="s">
        <v>72</v>
      </c>
      <c r="I35" s="2" t="s">
        <v>67</v>
      </c>
      <c r="J35" s="3">
        <v>56000</v>
      </c>
      <c r="K35" s="6">
        <v>3</v>
      </c>
      <c r="L35" s="8" t="s">
        <v>68</v>
      </c>
      <c r="M35" s="4">
        <f t="shared" si="0"/>
        <v>1</v>
      </c>
      <c r="N35" t="str">
        <f>IF( HR_Data5[[#This Row],[Age]]&lt;25, "Under 25",IF( HR_Data5[[#This Row],[Age]]&lt;=34, "25-34",IF( HR_Data5[[#This Row],[Age]]&lt;=33, "35-44",IF( HR_Data5[[#This Row],[Age]]&lt;=54,"45-54", "55+"))))</f>
        <v>25-34</v>
      </c>
      <c r="O35" t="str">
        <f>IF( HR_Data5[[#This Row],[Salary]]&lt;50000,"Low",IF( HR_Data5[[#This Row],[Salary]]&lt;=70000,"medium","High"))</f>
        <v>medium</v>
      </c>
      <c r="P35" t="str">
        <f>IF( HR_Data5[[#This Row],[JobSatisfaction]]&lt;=2,"Low",IF( HR_Data5[[#This Row],[JobSatisfaction]]=3,"Medium","High"))</f>
        <v>Medium</v>
      </c>
    </row>
    <row r="36" spans="1:16" x14ac:dyDescent="0.25">
      <c r="A36" s="7">
        <v>35</v>
      </c>
      <c r="B36" s="2" t="s">
        <v>111</v>
      </c>
      <c r="C36" s="2" t="s">
        <v>54</v>
      </c>
      <c r="D36" s="2">
        <v>48</v>
      </c>
      <c r="E36" s="2" t="s">
        <v>63</v>
      </c>
      <c r="F36" s="2" t="s">
        <v>64</v>
      </c>
      <c r="G36" s="2" t="s">
        <v>84</v>
      </c>
      <c r="H36" s="2" t="s">
        <v>66</v>
      </c>
      <c r="I36" s="2" t="s">
        <v>59</v>
      </c>
      <c r="J36" s="3">
        <v>92000</v>
      </c>
      <c r="K36" s="6">
        <v>4</v>
      </c>
      <c r="L36" s="8" t="s">
        <v>68</v>
      </c>
      <c r="M36" s="4">
        <f t="shared" si="0"/>
        <v>1</v>
      </c>
      <c r="N36" t="str">
        <f>IF( HR_Data5[[#This Row],[Age]]&lt;25, "Under 25",IF( HR_Data5[[#This Row],[Age]]&lt;=34, "25-34",IF( HR_Data5[[#This Row],[Age]]&lt;=33, "35-44",IF( HR_Data5[[#This Row],[Age]]&lt;=54,"45-54", "55+"))))</f>
        <v>45-54</v>
      </c>
      <c r="O36" t="str">
        <f>IF( HR_Data5[[#This Row],[Salary]]&lt;50000,"Low",IF( HR_Data5[[#This Row],[Salary]]&lt;=70000,"medium","High"))</f>
        <v>High</v>
      </c>
      <c r="P36" t="str">
        <f>IF( HR_Data5[[#This Row],[JobSatisfaction]]&lt;=2,"Low",IF( HR_Data5[[#This Row],[JobSatisfaction]]=3,"Medium","High"))</f>
        <v>High</v>
      </c>
    </row>
    <row r="37" spans="1:16" x14ac:dyDescent="0.25">
      <c r="A37" s="7">
        <v>36</v>
      </c>
      <c r="B37" s="2" t="s">
        <v>112</v>
      </c>
      <c r="C37" s="2" t="s">
        <v>62</v>
      </c>
      <c r="D37" s="2">
        <v>26</v>
      </c>
      <c r="E37" s="2" t="s">
        <v>55</v>
      </c>
      <c r="F37" s="2" t="s">
        <v>74</v>
      </c>
      <c r="G37" s="2" t="s">
        <v>57</v>
      </c>
      <c r="H37" s="2" t="s">
        <v>58</v>
      </c>
      <c r="I37" s="2" t="s">
        <v>67</v>
      </c>
      <c r="J37" s="3">
        <v>52000</v>
      </c>
      <c r="K37" s="6">
        <v>3</v>
      </c>
      <c r="L37" s="8" t="s">
        <v>60</v>
      </c>
      <c r="M37" s="4">
        <f t="shared" si="0"/>
        <v>0</v>
      </c>
      <c r="N37" t="str">
        <f>IF( HR_Data5[[#This Row],[Age]]&lt;25, "Under 25",IF( HR_Data5[[#This Row],[Age]]&lt;=34, "25-34",IF( HR_Data5[[#This Row],[Age]]&lt;=33, "35-44",IF( HR_Data5[[#This Row],[Age]]&lt;=54,"45-54", "55+"))))</f>
        <v>25-34</v>
      </c>
      <c r="O37" t="str">
        <f>IF( HR_Data5[[#This Row],[Salary]]&lt;50000,"Low",IF( HR_Data5[[#This Row],[Salary]]&lt;=70000,"medium","High"))</f>
        <v>medium</v>
      </c>
      <c r="P37" t="str">
        <f>IF( HR_Data5[[#This Row],[JobSatisfaction]]&lt;=2,"Low",IF( HR_Data5[[#This Row],[JobSatisfaction]]=3,"Medium","High"))</f>
        <v>Medium</v>
      </c>
    </row>
    <row r="38" spans="1:16" x14ac:dyDescent="0.25">
      <c r="A38" s="7">
        <v>37</v>
      </c>
      <c r="B38" s="2" t="s">
        <v>113</v>
      </c>
      <c r="C38" s="2" t="s">
        <v>54</v>
      </c>
      <c r="D38" s="2">
        <v>39</v>
      </c>
      <c r="E38" s="2" t="s">
        <v>63</v>
      </c>
      <c r="F38" s="2" t="s">
        <v>77</v>
      </c>
      <c r="G38" s="2" t="s">
        <v>78</v>
      </c>
      <c r="H38" s="2" t="s">
        <v>79</v>
      </c>
      <c r="I38" s="2" t="s">
        <v>59</v>
      </c>
      <c r="J38" s="3">
        <v>48000</v>
      </c>
      <c r="K38" s="6">
        <v>2</v>
      </c>
      <c r="L38" s="8" t="s">
        <v>60</v>
      </c>
      <c r="M38" s="4">
        <f t="shared" si="0"/>
        <v>0</v>
      </c>
      <c r="N38" t="str">
        <f>IF( HR_Data5[[#This Row],[Age]]&lt;25, "Under 25",IF( HR_Data5[[#This Row],[Age]]&lt;=34, "25-34",IF( HR_Data5[[#This Row],[Age]]&lt;=33, "35-44",IF( HR_Data5[[#This Row],[Age]]&lt;=54,"45-54", "55+"))))</f>
        <v>45-54</v>
      </c>
      <c r="O38" t="str">
        <f>IF( HR_Data5[[#This Row],[Salary]]&lt;50000,"Low",IF( HR_Data5[[#This Row],[Salary]]&lt;=70000,"medium","High"))</f>
        <v>Low</v>
      </c>
      <c r="P38" t="str">
        <f>IF( HR_Data5[[#This Row],[JobSatisfaction]]&lt;=2,"Low",IF( HR_Data5[[#This Row],[JobSatisfaction]]=3,"Medium","High"))</f>
        <v>Low</v>
      </c>
    </row>
    <row r="39" spans="1:16" x14ac:dyDescent="0.25">
      <c r="A39" s="7">
        <v>38</v>
      </c>
      <c r="B39" s="2" t="s">
        <v>114</v>
      </c>
      <c r="C39" s="2" t="s">
        <v>54</v>
      </c>
      <c r="D39" s="2">
        <v>34</v>
      </c>
      <c r="E39" s="2" t="s">
        <v>55</v>
      </c>
      <c r="F39" s="2" t="s">
        <v>56</v>
      </c>
      <c r="G39" s="2" t="s">
        <v>57</v>
      </c>
      <c r="H39" s="2" t="s">
        <v>58</v>
      </c>
      <c r="I39" s="2" t="s">
        <v>59</v>
      </c>
      <c r="J39" s="3">
        <v>61000</v>
      </c>
      <c r="K39" s="6">
        <v>3</v>
      </c>
      <c r="L39" s="8" t="s">
        <v>68</v>
      </c>
      <c r="M39" s="4">
        <f t="shared" si="0"/>
        <v>1</v>
      </c>
      <c r="N39" t="str">
        <f>IF( HR_Data5[[#This Row],[Age]]&lt;25, "Under 25",IF( HR_Data5[[#This Row],[Age]]&lt;=34, "25-34",IF( HR_Data5[[#This Row],[Age]]&lt;=33, "35-44",IF( HR_Data5[[#This Row],[Age]]&lt;=54,"45-54", "55+"))))</f>
        <v>25-34</v>
      </c>
      <c r="O39" t="str">
        <f>IF( HR_Data5[[#This Row],[Salary]]&lt;50000,"Low",IF( HR_Data5[[#This Row],[Salary]]&lt;=70000,"medium","High"))</f>
        <v>medium</v>
      </c>
      <c r="P39" t="str">
        <f>IF( HR_Data5[[#This Row],[JobSatisfaction]]&lt;=2,"Low",IF( HR_Data5[[#This Row],[JobSatisfaction]]=3,"Medium","High"))</f>
        <v>Medium</v>
      </c>
    </row>
    <row r="40" spans="1:16" x14ac:dyDescent="0.25">
      <c r="A40" s="7">
        <v>39</v>
      </c>
      <c r="B40" s="2" t="s">
        <v>115</v>
      </c>
      <c r="C40" s="2" t="s">
        <v>62</v>
      </c>
      <c r="D40" s="2">
        <v>32</v>
      </c>
      <c r="E40" s="2" t="s">
        <v>70</v>
      </c>
      <c r="F40" s="2" t="s">
        <v>81</v>
      </c>
      <c r="G40" s="2" t="s">
        <v>57</v>
      </c>
      <c r="H40" s="2" t="s">
        <v>72</v>
      </c>
      <c r="I40" s="2" t="s">
        <v>59</v>
      </c>
      <c r="J40" s="3">
        <v>58000</v>
      </c>
      <c r="K40" s="6">
        <v>4</v>
      </c>
      <c r="L40" s="8" t="s">
        <v>68</v>
      </c>
      <c r="M40" s="4">
        <f t="shared" si="0"/>
        <v>0</v>
      </c>
      <c r="N40" t="str">
        <f>IF( HR_Data5[[#This Row],[Age]]&lt;25, "Under 25",IF( HR_Data5[[#This Row],[Age]]&lt;=34, "25-34",IF( HR_Data5[[#This Row],[Age]]&lt;=33, "35-44",IF( HR_Data5[[#This Row],[Age]]&lt;=54,"45-54", "55+"))))</f>
        <v>25-34</v>
      </c>
      <c r="O40" t="str">
        <f>IF( HR_Data5[[#This Row],[Salary]]&lt;50000,"Low",IF( HR_Data5[[#This Row],[Salary]]&lt;=70000,"medium","High"))</f>
        <v>medium</v>
      </c>
      <c r="P40" t="str">
        <f>IF( HR_Data5[[#This Row],[JobSatisfaction]]&lt;=2,"Low",IF( HR_Data5[[#This Row],[JobSatisfaction]]=3,"Medium","High"))</f>
        <v>High</v>
      </c>
    </row>
    <row r="41" spans="1:16" x14ac:dyDescent="0.25">
      <c r="A41" s="7">
        <v>40</v>
      </c>
      <c r="B41" s="2" t="s">
        <v>116</v>
      </c>
      <c r="C41" s="2" t="s">
        <v>54</v>
      </c>
      <c r="D41" s="2">
        <v>37</v>
      </c>
      <c r="E41" s="2" t="s">
        <v>63</v>
      </c>
      <c r="F41" s="2" t="s">
        <v>64</v>
      </c>
      <c r="G41" s="2" t="s">
        <v>65</v>
      </c>
      <c r="H41" s="2" t="s">
        <v>66</v>
      </c>
      <c r="I41" s="2" t="s">
        <v>59</v>
      </c>
      <c r="J41" s="3">
        <v>76000</v>
      </c>
      <c r="K41" s="6">
        <v>3</v>
      </c>
      <c r="L41" s="8" t="s">
        <v>60</v>
      </c>
      <c r="M41" s="4">
        <f t="shared" si="0"/>
        <v>0</v>
      </c>
      <c r="N41" t="str">
        <f>IF( HR_Data5[[#This Row],[Age]]&lt;25, "Under 25",IF( HR_Data5[[#This Row],[Age]]&lt;=34, "25-34",IF( HR_Data5[[#This Row],[Age]]&lt;=33, "35-44",IF( HR_Data5[[#This Row],[Age]]&lt;=54,"45-54", "55+"))))</f>
        <v>45-54</v>
      </c>
      <c r="O41" t="str">
        <f>IF( HR_Data5[[#This Row],[Salary]]&lt;50000,"Low",IF( HR_Data5[[#This Row],[Salary]]&lt;=70000,"medium","High"))</f>
        <v>High</v>
      </c>
      <c r="P41" t="str">
        <f>IF( HR_Data5[[#This Row],[JobSatisfaction]]&lt;=2,"Low",IF( HR_Data5[[#This Row],[JobSatisfaction]]=3,"Medium","High"))</f>
        <v>Medium</v>
      </c>
    </row>
  </sheetData>
  <dataValidations count="1">
    <dataValidation type="list" allowBlank="1" showInputMessage="1" showErrorMessage="1" sqref="A1:L41" xr:uid="{2F20650C-F7AC-4C34-B7D2-013EF2CD3DBE}">
      <formula1>"Yes,No"</formula1>
    </dataValidation>
  </dataValidations>
  <pageMargins left="0.7" right="0.7" top="0.75" bottom="0.75" header="0.3" footer="0.3"/>
  <ignoredErrors>
    <ignoredError sqref="L1 J1:K1 B2:K26 B1:I1 B27:K41 A1:A28 A29:A41" listDataValidation="1"/>
    <ignoredError sqref="M2:M41"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FEF5-6ACF-4AFE-BB9F-AE0E1B2DA18C}">
  <dimension ref="A1:L27"/>
  <sheetViews>
    <sheetView tabSelected="1" topLeftCell="E1" workbookViewId="0">
      <selection activeCell="Q20" sqref="Q20"/>
    </sheetView>
  </sheetViews>
  <sheetFormatPr defaultRowHeight="13.8" x14ac:dyDescent="0.25"/>
  <cols>
    <col min="1" max="1" width="14.09765625" bestFit="1" customWidth="1"/>
    <col min="2" max="2" width="16.09765625" bestFit="1" customWidth="1"/>
    <col min="4" max="5" width="11.296875" bestFit="1" customWidth="1"/>
    <col min="6" max="6" width="16.09765625" bestFit="1" customWidth="1"/>
    <col min="7" max="7" width="11.296875" bestFit="1" customWidth="1"/>
    <col min="8" max="11" width="16.09765625" bestFit="1" customWidth="1"/>
    <col min="12" max="12" width="12.3984375" bestFit="1" customWidth="1"/>
    <col min="13" max="13" width="16.09765625" customWidth="1"/>
    <col min="14" max="14" width="13.69921875" customWidth="1"/>
    <col min="15" max="15" width="18.296875" customWidth="1"/>
    <col min="16" max="16" width="10.69921875" customWidth="1"/>
  </cols>
  <sheetData>
    <row r="1" spans="1:12" ht="14.4" x14ac:dyDescent="0.3">
      <c r="B1" s="20" t="s">
        <v>133</v>
      </c>
      <c r="D1" s="20" t="s">
        <v>121</v>
      </c>
      <c r="F1" s="20" t="s">
        <v>134</v>
      </c>
      <c r="I1" s="20" t="s">
        <v>122</v>
      </c>
      <c r="J1" s="17"/>
      <c r="K1" s="21" t="s">
        <v>123</v>
      </c>
      <c r="L1" s="17"/>
    </row>
    <row r="2" spans="1:12" x14ac:dyDescent="0.25">
      <c r="B2">
        <f>ROWS(HR_Data5[])</f>
        <v>40</v>
      </c>
      <c r="D2">
        <f>SUM(HR_Data5[AttritionFlag])</f>
        <v>19</v>
      </c>
      <c r="F2" s="14">
        <f>D2/B2</f>
        <v>0.47499999999999998</v>
      </c>
      <c r="I2" s="5">
        <f>AVERAGE(HR_Data5[Age])</f>
        <v>35.375</v>
      </c>
      <c r="J2" s="17"/>
      <c r="K2" s="18">
        <f>AVERAGE(HR_Data5[JobSatisfaction])</f>
        <v>2.9750000000000001</v>
      </c>
      <c r="L2" s="17"/>
    </row>
    <row r="4" spans="1:12" ht="14.4" x14ac:dyDescent="0.3">
      <c r="A4" s="20"/>
      <c r="B4" s="20"/>
      <c r="C4" s="20"/>
      <c r="D4" s="20"/>
      <c r="E4" s="20"/>
      <c r="F4" s="20"/>
      <c r="G4" s="20"/>
      <c r="H4" s="20"/>
      <c r="I4" s="20"/>
      <c r="J4" s="20"/>
      <c r="K4" s="20"/>
      <c r="L4" s="20"/>
    </row>
    <row r="5" spans="1:12" ht="14.4" x14ac:dyDescent="0.3">
      <c r="A5" s="23" t="s">
        <v>124</v>
      </c>
      <c r="B5" s="24" t="s">
        <v>126</v>
      </c>
      <c r="C5" s="20"/>
      <c r="D5" s="20"/>
      <c r="E5" s="23" t="s">
        <v>124</v>
      </c>
      <c r="F5" s="24" t="s">
        <v>126</v>
      </c>
      <c r="G5" s="20"/>
      <c r="H5" s="20"/>
      <c r="I5" s="23" t="s">
        <v>124</v>
      </c>
      <c r="J5" s="24" t="s">
        <v>126</v>
      </c>
      <c r="K5" s="20"/>
      <c r="L5" s="20"/>
    </row>
    <row r="6" spans="1:12" ht="14.4" x14ac:dyDescent="0.3">
      <c r="A6" s="25" t="s">
        <v>70</v>
      </c>
      <c r="B6" s="24">
        <v>4</v>
      </c>
      <c r="C6" s="20"/>
      <c r="D6" s="20"/>
      <c r="E6" s="25" t="s">
        <v>128</v>
      </c>
      <c r="F6" s="24">
        <v>7</v>
      </c>
      <c r="G6" s="20"/>
      <c r="H6" s="20"/>
      <c r="I6" s="25" t="s">
        <v>81</v>
      </c>
      <c r="J6" s="24">
        <v>2</v>
      </c>
      <c r="K6" s="20"/>
      <c r="L6" s="20"/>
    </row>
    <row r="7" spans="1:12" ht="14.4" x14ac:dyDescent="0.3">
      <c r="A7" s="25" t="s">
        <v>55</v>
      </c>
      <c r="B7" s="24">
        <v>8</v>
      </c>
      <c r="C7" s="20"/>
      <c r="D7" s="20"/>
      <c r="E7" s="25" t="s">
        <v>129</v>
      </c>
      <c r="F7" s="24">
        <v>5</v>
      </c>
      <c r="G7" s="20"/>
      <c r="H7" s="20"/>
      <c r="I7" s="25" t="s">
        <v>71</v>
      </c>
      <c r="J7" s="24">
        <v>2</v>
      </c>
      <c r="K7" s="20"/>
      <c r="L7" s="20"/>
    </row>
    <row r="8" spans="1:12" ht="15.6" customHeight="1" x14ac:dyDescent="0.3">
      <c r="A8" s="25" t="s">
        <v>125</v>
      </c>
      <c r="B8" s="24">
        <v>12</v>
      </c>
      <c r="C8" s="20"/>
      <c r="D8" s="20"/>
      <c r="E8" s="25" t="s">
        <v>125</v>
      </c>
      <c r="F8" s="24">
        <v>12</v>
      </c>
      <c r="G8" s="20"/>
      <c r="H8" s="20"/>
      <c r="I8" s="25" t="s">
        <v>56</v>
      </c>
      <c r="J8" s="24">
        <v>8</v>
      </c>
      <c r="K8" s="20"/>
      <c r="L8" s="20"/>
    </row>
    <row r="9" spans="1:12" ht="14.4" x14ac:dyDescent="0.3">
      <c r="C9" s="20"/>
      <c r="D9" s="20"/>
      <c r="E9" s="20"/>
      <c r="F9" s="20"/>
      <c r="G9" s="20"/>
      <c r="H9" s="20"/>
      <c r="I9" s="25" t="s">
        <v>74</v>
      </c>
      <c r="J9" s="24">
        <v>0</v>
      </c>
      <c r="K9" s="20"/>
      <c r="L9" s="20"/>
    </row>
    <row r="10" spans="1:12" ht="14.4" x14ac:dyDescent="0.3">
      <c r="A10" s="20"/>
      <c r="B10" s="20"/>
      <c r="C10" s="20"/>
      <c r="D10" s="20"/>
      <c r="E10" s="20"/>
      <c r="F10" s="20"/>
      <c r="G10" s="20"/>
      <c r="H10" s="20"/>
      <c r="I10" s="25" t="s">
        <v>125</v>
      </c>
      <c r="J10" s="24">
        <v>12</v>
      </c>
      <c r="K10" s="20"/>
      <c r="L10" s="20"/>
    </row>
    <row r="11" spans="1:12" ht="14.4" x14ac:dyDescent="0.3">
      <c r="A11" s="20"/>
      <c r="B11" s="20"/>
      <c r="C11" s="20"/>
      <c r="D11" s="20"/>
      <c r="E11" s="20"/>
      <c r="F11" s="20"/>
      <c r="G11" s="20"/>
      <c r="H11" s="20"/>
      <c r="K11" s="20"/>
      <c r="L11" s="20"/>
    </row>
    <row r="12" spans="1:12" ht="14.4" x14ac:dyDescent="0.3">
      <c r="A12" s="20"/>
      <c r="B12" s="20"/>
      <c r="C12" s="20"/>
      <c r="D12" s="20"/>
      <c r="E12" s="20"/>
      <c r="F12" s="20"/>
      <c r="G12" s="20"/>
      <c r="H12" s="20"/>
      <c r="K12" s="20"/>
      <c r="L12" s="20"/>
    </row>
    <row r="13" spans="1:12" ht="14.4" x14ac:dyDescent="0.3">
      <c r="A13" s="20"/>
      <c r="B13" s="20"/>
      <c r="C13" s="20"/>
      <c r="D13" s="20"/>
      <c r="E13" s="20"/>
      <c r="F13" s="20"/>
      <c r="G13" s="20"/>
      <c r="H13" s="20"/>
      <c r="I13" s="20"/>
      <c r="J13" s="20"/>
      <c r="K13" s="20"/>
      <c r="L13" s="20"/>
    </row>
    <row r="14" spans="1:12" ht="14.4" x14ac:dyDescent="0.3">
      <c r="A14" s="23" t="s">
        <v>124</v>
      </c>
      <c r="B14" s="24" t="s">
        <v>126</v>
      </c>
      <c r="C14" s="20"/>
      <c r="D14" s="23" t="s">
        <v>124</v>
      </c>
      <c r="E14" s="24" t="s">
        <v>130</v>
      </c>
      <c r="F14" s="20"/>
      <c r="G14" s="20"/>
      <c r="H14" s="20"/>
      <c r="I14" s="20"/>
      <c r="J14" s="20"/>
      <c r="K14" s="20"/>
      <c r="L14" s="20"/>
    </row>
    <row r="15" spans="1:12" ht="14.4" x14ac:dyDescent="0.3">
      <c r="A15" s="25" t="s">
        <v>72</v>
      </c>
      <c r="B15" s="24">
        <v>4</v>
      </c>
      <c r="C15" s="20"/>
      <c r="D15" s="25" t="s">
        <v>62</v>
      </c>
      <c r="E15" s="24">
        <v>13</v>
      </c>
      <c r="F15" s="20"/>
      <c r="G15" s="20"/>
      <c r="H15" s="20"/>
      <c r="I15" s="20"/>
      <c r="J15" s="23" t="s">
        <v>124</v>
      </c>
      <c r="K15" s="24" t="s">
        <v>126</v>
      </c>
      <c r="L15" s="24" t="s">
        <v>131</v>
      </c>
    </row>
    <row r="16" spans="1:12" ht="14.4" x14ac:dyDescent="0.3">
      <c r="A16" s="25" t="s">
        <v>58</v>
      </c>
      <c r="B16" s="24">
        <v>8</v>
      </c>
      <c r="C16" s="20"/>
      <c r="D16" s="25" t="s">
        <v>54</v>
      </c>
      <c r="E16" s="24">
        <v>12</v>
      </c>
      <c r="F16" s="20"/>
      <c r="G16" s="20"/>
      <c r="H16" s="20"/>
      <c r="I16" s="20"/>
      <c r="J16" s="25" t="s">
        <v>75</v>
      </c>
      <c r="K16" s="24">
        <v>0</v>
      </c>
      <c r="L16" s="26">
        <v>52000</v>
      </c>
    </row>
    <row r="17" spans="1:12" ht="14.4" x14ac:dyDescent="0.3">
      <c r="A17" s="25" t="s">
        <v>125</v>
      </c>
      <c r="B17" s="24">
        <v>12</v>
      </c>
      <c r="C17" s="20"/>
      <c r="D17" s="25" t="s">
        <v>125</v>
      </c>
      <c r="E17" s="24">
        <v>25</v>
      </c>
      <c r="F17" s="20"/>
      <c r="G17" s="20"/>
      <c r="H17" s="20"/>
      <c r="I17" s="22" t="s">
        <v>132</v>
      </c>
      <c r="J17" s="27" t="s">
        <v>57</v>
      </c>
      <c r="K17" s="24">
        <v>0</v>
      </c>
      <c r="L17" s="26">
        <v>52000</v>
      </c>
    </row>
    <row r="18" spans="1:12" ht="14.4" x14ac:dyDescent="0.3">
      <c r="C18" s="20"/>
      <c r="D18" s="20"/>
      <c r="E18" s="20"/>
      <c r="F18" s="20"/>
      <c r="G18" s="23" t="s">
        <v>124</v>
      </c>
      <c r="H18" s="24" t="s">
        <v>126</v>
      </c>
      <c r="I18" s="20"/>
      <c r="J18" s="25" t="s">
        <v>59</v>
      </c>
      <c r="K18" s="24">
        <v>7</v>
      </c>
      <c r="L18" s="26">
        <v>772000</v>
      </c>
    </row>
    <row r="19" spans="1:12" ht="14.4" x14ac:dyDescent="0.3">
      <c r="C19" s="20"/>
      <c r="D19" s="20"/>
      <c r="E19" s="20"/>
      <c r="F19" s="20"/>
      <c r="G19" s="25" t="s">
        <v>65</v>
      </c>
      <c r="H19" s="24">
        <v>4</v>
      </c>
      <c r="I19" s="20"/>
      <c r="J19" s="27" t="s">
        <v>57</v>
      </c>
      <c r="K19" s="24">
        <v>3</v>
      </c>
      <c r="L19" s="26">
        <v>361000</v>
      </c>
    </row>
    <row r="20" spans="1:12" ht="14.4" x14ac:dyDescent="0.3">
      <c r="A20" s="20"/>
      <c r="B20" s="20"/>
      <c r="C20" s="20"/>
      <c r="D20" s="20"/>
      <c r="E20" s="20"/>
      <c r="F20" s="20"/>
      <c r="G20" s="25" t="s">
        <v>57</v>
      </c>
      <c r="H20" s="24">
        <v>8</v>
      </c>
      <c r="I20" s="20"/>
      <c r="J20" s="27" t="s">
        <v>65</v>
      </c>
      <c r="K20" s="24">
        <v>4</v>
      </c>
      <c r="L20" s="26">
        <v>411000</v>
      </c>
    </row>
    <row r="21" spans="1:12" ht="14.4" x14ac:dyDescent="0.3">
      <c r="A21" s="20"/>
      <c r="B21" s="20"/>
      <c r="C21" s="20"/>
      <c r="D21" s="20"/>
      <c r="E21" s="20"/>
      <c r="F21" s="20"/>
      <c r="G21" s="25" t="s">
        <v>125</v>
      </c>
      <c r="H21" s="24">
        <v>12</v>
      </c>
      <c r="I21" s="20"/>
      <c r="J21" s="25" t="s">
        <v>67</v>
      </c>
      <c r="K21" s="24">
        <v>5</v>
      </c>
      <c r="L21" s="26">
        <v>661000</v>
      </c>
    </row>
    <row r="22" spans="1:12" ht="14.4" x14ac:dyDescent="0.3">
      <c r="A22" s="20"/>
      <c r="B22" s="20"/>
      <c r="C22" s="20"/>
      <c r="D22" s="20"/>
      <c r="E22" s="20"/>
      <c r="F22" s="20"/>
      <c r="I22" s="20"/>
      <c r="J22" s="27" t="s">
        <v>57</v>
      </c>
      <c r="K22" s="24">
        <v>5</v>
      </c>
      <c r="L22" s="26">
        <v>661000</v>
      </c>
    </row>
    <row r="23" spans="1:12" ht="14.4" x14ac:dyDescent="0.3">
      <c r="A23" s="20"/>
      <c r="B23" s="20"/>
      <c r="C23" s="20"/>
      <c r="D23" s="20"/>
      <c r="E23" s="20"/>
      <c r="F23" s="20"/>
      <c r="I23" s="20"/>
      <c r="J23" s="25" t="s">
        <v>125</v>
      </c>
      <c r="K23" s="24">
        <v>12</v>
      </c>
      <c r="L23" s="26">
        <v>1485000</v>
      </c>
    </row>
    <row r="24" spans="1:12" ht="14.4" x14ac:dyDescent="0.3">
      <c r="A24" s="20"/>
      <c r="B24" s="20"/>
      <c r="C24" s="20"/>
      <c r="D24" s="20"/>
      <c r="E24" s="20"/>
      <c r="F24" s="20"/>
      <c r="G24" s="20"/>
      <c r="H24" s="20"/>
      <c r="I24" s="20"/>
    </row>
    <row r="25" spans="1:12" ht="14.4" x14ac:dyDescent="0.3">
      <c r="A25" s="20"/>
      <c r="B25" s="20"/>
      <c r="C25" s="20"/>
      <c r="D25" s="20"/>
      <c r="E25" s="20"/>
      <c r="F25" s="20"/>
      <c r="G25" s="20"/>
      <c r="H25" s="20"/>
      <c r="I25" s="20"/>
    </row>
    <row r="26" spans="1:12" ht="14.4" x14ac:dyDescent="0.3">
      <c r="A26" s="20"/>
      <c r="B26" s="20"/>
      <c r="C26" s="20"/>
      <c r="D26" s="20"/>
      <c r="E26" s="20"/>
      <c r="F26" s="20"/>
      <c r="G26" s="20"/>
      <c r="H26" s="20"/>
      <c r="I26" s="20"/>
    </row>
    <row r="27" spans="1:12" ht="14.4" x14ac:dyDescent="0.3">
      <c r="A27" s="20"/>
      <c r="B27" s="20"/>
      <c r="C27" s="20"/>
      <c r="D27" s="20"/>
      <c r="E27" s="20"/>
      <c r="F27" s="20"/>
      <c r="G27" s="20"/>
      <c r="H27" s="20"/>
      <c r="I27"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751C9-7EA2-4F56-BEBF-04845329C2B3}">
  <dimension ref="D6:N15"/>
  <sheetViews>
    <sheetView zoomScale="73" zoomScaleNormal="73" workbookViewId="0">
      <selection activeCell="V15" sqref="V15"/>
    </sheetView>
  </sheetViews>
  <sheetFormatPr defaultRowHeight="13.8" x14ac:dyDescent="0.25"/>
  <cols>
    <col min="1" max="16384" width="8.796875" style="15"/>
  </cols>
  <sheetData>
    <row r="6" spans="4:14" x14ac:dyDescent="0.25">
      <c r="D6" s="19"/>
    </row>
    <row r="7" spans="4:14" x14ac:dyDescent="0.25">
      <c r="M7" s="16"/>
      <c r="N7" s="16"/>
    </row>
    <row r="8" spans="4:14" x14ac:dyDescent="0.25">
      <c r="M8" s="16"/>
      <c r="N8" s="16"/>
    </row>
    <row r="9" spans="4:14" x14ac:dyDescent="0.25">
      <c r="M9" s="16"/>
      <c r="N9" s="16"/>
    </row>
    <row r="10" spans="4:14" x14ac:dyDescent="0.25">
      <c r="M10" s="16"/>
      <c r="N10" s="16"/>
    </row>
    <row r="11" spans="4:14" x14ac:dyDescent="0.25">
      <c r="M11" s="16"/>
      <c r="N11" s="16"/>
    </row>
    <row r="15" spans="4:14" x14ac:dyDescent="0.25">
      <c r="L15" s="15" t="s">
        <v>127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Row data</vt:lpstr>
      <vt:lpstr>CleanData</vt:lpstr>
      <vt:lpstr>Calcuation</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pavanshingote84@outlook.com</dc:creator>
  <cp:lastModifiedBy>pavanshingote84@outlook.com</cp:lastModifiedBy>
  <dcterms:created xsi:type="dcterms:W3CDTF">2026-04-25T15:51:14Z</dcterms:created>
  <dcterms:modified xsi:type="dcterms:W3CDTF">2026-06-25T16:53:03Z</dcterms:modified>
</cp:coreProperties>
</file>